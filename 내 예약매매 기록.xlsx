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4" sheetId="1" r:id="rId5"/>
    <sheet state="visible" name="시트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매수가,  매도가, 매도일자 공란 가능.
매수 &gt; 기한까지 목표가자동매도 &gt; 되면 익절 / 안되면 기한일에 손절매
자금 : 종목 수 만큼 균등분배매수. 매도된 종목이 나오는 대로 바로 다른 종목 찾아서 매도된 금액만큼 매수 진행.</t>
      </text>
    </comment>
    <comment authorId="0" ref="B1">
      <text>
        <t xml:space="preserve">ㅇ : 실제로 산 종목
공란 : 사진 않았지만 예측은 해본 종목
          (조건식 리스트에서 뽑은 최종 후보)
* : 당시 돈이 없어서 못샀지만, 있었으면 살거 같은 종목들.
</t>
      </text>
    </comment>
    <comment authorId="0" ref="C1">
      <text>
        <t xml:space="preserve">저녁 : 
1. 매수 된거 있는지 확인 후 
- 없으면 말고
- 있으면 표기 &amp; 매수가 작성
2. 매도 된거 있는지 확인 &gt; 신규매수
- 없으면 말고
- 있으면
- 1. 매도 기록
- 2. 새로 매수할 종목 기록하며 찾기
- 3. 그 중 수익률 포함 가장 좋아보이는 종목들 찾아서 예약매수
3. 기한 지난거 없는지 확인-빨간 글자 
- 없으면 말고
- 있으면 시가 예약매도</t>
      </text>
    </comment>
  </commentList>
</comments>
</file>

<file path=xl/sharedStrings.xml><?xml version="1.0" encoding="utf-8"?>
<sst xmlns="http://schemas.openxmlformats.org/spreadsheetml/2006/main" count="333" uniqueCount="139">
  <si>
    <t>당일 조건식 결과로 잡힌 수십개의 종목들 중, 차트를 봤을 때 오를 가능성이 있어 보이는 종목들만 선별하여 기록.
예상가 : 당시 매수 시, 자동매도를 걸어둘 경우 예상기간 내 익절 가능할 것으로 판단한 목표가격. 
예상기한: 해당 날짜까지 예상가에 도달할 것으로 판단한 마지막 날짜. 예상기한까지 도달하지 못하면 청산. (거래일 기준)
매수금액 : 실제 매수된 종목들의 매수단가
차트 : 5점 만점 중 차트 모양의 점수
호가 : 5점 만점 중 호가 현황의 점수
확신도 : 기한 내에 해당 가격에 닿을 예상 가능성 (%)
거래법 : 점심 때 조건식으로 걸러진 종목들의 차트를 보고 살만한 종목 리스팅 &gt; 매수 &gt; 매수되면 예상가에 자동매도</t>
  </si>
  <si>
    <t>매수일</t>
  </si>
  <si>
    <t>종목명</t>
  </si>
  <si>
    <t>후보선별일자</t>
  </si>
  <si>
    <t>현재가</t>
  </si>
  <si>
    <t>예상가</t>
  </si>
  <si>
    <t>목표가</t>
  </si>
  <si>
    <t>예상기간</t>
  </si>
  <si>
    <t>기간</t>
  </si>
  <si>
    <t>예상기한</t>
  </si>
  <si>
    <t>매수금액</t>
  </si>
  <si>
    <t>기한</t>
  </si>
  <si>
    <t>매도금액</t>
  </si>
  <si>
    <t>매도일자</t>
  </si>
  <si>
    <t>차트</t>
  </si>
  <si>
    <t>예상수익률</t>
  </si>
  <si>
    <t>호가</t>
  </si>
  <si>
    <t>확신도</t>
  </si>
  <si>
    <t>GS리테일</t>
  </si>
  <si>
    <t>22일</t>
  </si>
  <si>
    <t>HDC</t>
  </si>
  <si>
    <t>매수가</t>
  </si>
  <si>
    <t>61일</t>
  </si>
  <si>
    <t>매도가</t>
  </si>
  <si>
    <t>20260824</t>
  </si>
  <si>
    <t>브이엠</t>
  </si>
  <si>
    <t>40일</t>
  </si>
  <si>
    <t>이마트</t>
  </si>
  <si>
    <t>ㅇ</t>
  </si>
  <si>
    <t>디케이티</t>
  </si>
  <si>
    <t>21일</t>
  </si>
  <si>
    <t>가온칩스</t>
  </si>
  <si>
    <t>제주반도체</t>
  </si>
  <si>
    <t>15일</t>
  </si>
  <si>
    <t>타이거일렉</t>
  </si>
  <si>
    <t>10일</t>
  </si>
  <si>
    <t>한양이엔지</t>
  </si>
  <si>
    <t>5일</t>
  </si>
  <si>
    <t>하나머티리얼즈</t>
  </si>
  <si>
    <t>20일</t>
  </si>
  <si>
    <t>동국제약</t>
  </si>
  <si>
    <t>25일</t>
  </si>
  <si>
    <t>시프트업</t>
  </si>
  <si>
    <t>대덕</t>
  </si>
  <si>
    <t>3일</t>
  </si>
  <si>
    <t>KG스틸</t>
  </si>
  <si>
    <t>글로벌텍스프리</t>
  </si>
  <si>
    <t>24일</t>
  </si>
  <si>
    <t>경동나비엔</t>
  </si>
  <si>
    <t>CJ CGV</t>
  </si>
  <si>
    <t>국도화학</t>
  </si>
  <si>
    <t>리브스메드</t>
  </si>
  <si>
    <t>샘씨엔에스</t>
  </si>
  <si>
    <t>인텍플러스</t>
  </si>
  <si>
    <t>엘티씨</t>
  </si>
  <si>
    <t>케이씨텍</t>
  </si>
  <si>
    <t>26일</t>
  </si>
  <si>
    <t>PS일렉트로닉스</t>
  </si>
  <si>
    <t>35일</t>
  </si>
  <si>
    <t>씨젠</t>
  </si>
  <si>
    <t>30일</t>
  </si>
  <si>
    <t>F&amp;F</t>
  </si>
  <si>
    <t>20260825</t>
  </si>
  <si>
    <t>와이지-원</t>
  </si>
  <si>
    <t>인바디</t>
  </si>
  <si>
    <t>60일</t>
  </si>
  <si>
    <t>오리온홀딩스</t>
  </si>
  <si>
    <t>미래에셋생명</t>
  </si>
  <si>
    <t>포스코인터내셔널</t>
  </si>
  <si>
    <t>2일</t>
  </si>
  <si>
    <t>한화갤러리아</t>
  </si>
  <si>
    <t>20261013</t>
  </si>
  <si>
    <t>20260826</t>
  </si>
  <si>
    <t>페니트리움바이오</t>
  </si>
  <si>
    <t xml:space="preserve"> </t>
  </si>
  <si>
    <t xml:space="preserve"> HDC</t>
  </si>
  <si>
    <t>20261020</t>
  </si>
  <si>
    <t>진에어</t>
  </si>
  <si>
    <t>9일</t>
  </si>
  <si>
    <t>20261019</t>
  </si>
  <si>
    <t>온코닉테라퓨틱스</t>
  </si>
  <si>
    <t>실리콘투</t>
  </si>
  <si>
    <t>6일</t>
  </si>
  <si>
    <t>20261014</t>
  </si>
  <si>
    <t>아시아나항공</t>
  </si>
  <si>
    <t>7일</t>
  </si>
  <si>
    <t>20261015</t>
  </si>
  <si>
    <t>펌텍코리아</t>
  </si>
  <si>
    <t>클래시스</t>
  </si>
  <si>
    <t>20261110</t>
  </si>
  <si>
    <t>CJ ENM</t>
  </si>
  <si>
    <t>20260827</t>
  </si>
  <si>
    <t>신세계인터내셔날</t>
  </si>
  <si>
    <t>8일</t>
  </si>
  <si>
    <t>20261016</t>
  </si>
  <si>
    <t>영풍</t>
  </si>
  <si>
    <t>20270104</t>
  </si>
  <si>
    <t>90일</t>
  </si>
  <si>
    <t>20270217</t>
  </si>
  <si>
    <t>유진투자증권</t>
  </si>
  <si>
    <t>28일</t>
  </si>
  <si>
    <t>금호건설</t>
  </si>
  <si>
    <t>20260828</t>
  </si>
  <si>
    <t>27일</t>
  </si>
  <si>
    <t>유안타증권</t>
  </si>
  <si>
    <t>33일</t>
  </si>
  <si>
    <t>대신증권</t>
  </si>
  <si>
    <t>11일</t>
  </si>
  <si>
    <t>코리안리</t>
  </si>
  <si>
    <t>20260903</t>
  </si>
  <si>
    <t>12일</t>
  </si>
  <si>
    <t>현대제철</t>
  </si>
  <si>
    <t>29일</t>
  </si>
  <si>
    <t>다우기술</t>
  </si>
  <si>
    <t>19일</t>
  </si>
  <si>
    <t>넥스틸</t>
  </si>
  <si>
    <t>20260907</t>
  </si>
  <si>
    <t>20260908</t>
  </si>
  <si>
    <t>20260909</t>
  </si>
  <si>
    <t>20260918</t>
  </si>
  <si>
    <t>ㅁ</t>
  </si>
  <si>
    <t>20260929</t>
  </si>
  <si>
    <t>*****</t>
  </si>
  <si>
    <t>20261001</t>
  </si>
  <si>
    <t>20261002</t>
  </si>
  <si>
    <t>20261006</t>
  </si>
  <si>
    <t>****</t>
  </si>
  <si>
    <t>20261007</t>
  </si>
  <si>
    <t>20261008</t>
  </si>
  <si>
    <t>우리기술</t>
  </si>
  <si>
    <t>JW중외제약</t>
  </si>
  <si>
    <t>대한전선</t>
  </si>
  <si>
    <t>미래에셋증권</t>
  </si>
  <si>
    <t>*</t>
  </si>
  <si>
    <t>SIMPAC</t>
  </si>
  <si>
    <t>HMM</t>
  </si>
  <si>
    <t>에스엠</t>
  </si>
  <si>
    <t>세진중공업</t>
  </si>
  <si>
    <t>비에이치아이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</si>
</sst>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color rgb="FFB7B7B7"/>
      <name val="Arial"/>
      <scheme val="minor"/>
    </font>
    <font>
      <color theme="1"/>
      <name val="Arial"/>
    </font>
    <font>
      <color rgb="FFB7B7B7"/>
      <name val="Arial"/>
    </font>
    <font>
      <color rgb="FF999999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49" xfId="0" applyAlignment="1" applyFont="1" applyNumberFormat="1">
      <alignment vertical="bottom"/>
    </xf>
    <xf borderId="0" fillId="0" fontId="5" numFmtId="10" xfId="0" applyAlignment="1" applyFont="1" applyNumberFormat="1">
      <alignment horizontal="right" vertical="bottom"/>
    </xf>
    <xf borderId="0" fillId="0" fontId="1" numFmtId="164" xfId="0" applyFont="1" applyNumberFormat="1"/>
    <xf borderId="0" fillId="0" fontId="5" numFmtId="3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1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6" numFmtId="0" xfId="0" applyAlignment="1" applyFont="1">
      <alignment horizontal="right" readingOrder="0" vertical="bottom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10" xfId="0" applyAlignment="1" applyFont="1" applyNumberFormat="1">
      <alignment vertical="bottom"/>
    </xf>
    <xf borderId="0" fillId="0" fontId="5" numFmtId="3" xfId="0" applyAlignment="1" applyFont="1" applyNumberFormat="1">
      <alignment vertical="bottom"/>
    </xf>
    <xf borderId="0" fillId="0" fontId="5" numFmtId="1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5" numFmtId="3" xfId="0" applyAlignment="1" applyFont="1" applyNumberFormat="1">
      <alignment readingOrder="0" vertical="bottom"/>
    </xf>
    <xf borderId="0" fillId="0" fontId="5" numFmtId="1" xfId="0" applyAlignment="1" applyFont="1" applyNumberForma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1" numFmtId="49" xfId="0" applyFont="1" applyNumberFormat="1"/>
    <xf borderId="0" fillId="0" fontId="3" numFmtId="10" xfId="0" applyFont="1" applyNumberFormat="1"/>
    <xf borderId="0" fillId="0" fontId="3" numFmtId="0" xfId="0" applyFont="1"/>
  </cellXfs>
  <cellStyles count="1">
    <cellStyle xfId="0" name="Normal" builtinId="0"/>
  </cellStyles>
  <dxfs count="1">
    <dxf>
      <font>
        <color rgb="FFCC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2.5"/>
    <col customWidth="1" min="3" max="3" width="13.25"/>
    <col customWidth="1" min="4" max="4" width="6.13"/>
    <col customWidth="1" min="5" max="5" width="5.63"/>
    <col customWidth="1" min="6" max="6" width="4.13"/>
    <col customWidth="1" min="7" max="7" width="8.38"/>
    <col customWidth="1" min="8" max="8" width="8.63"/>
    <col customWidth="1" min="9" max="10" width="6.13"/>
    <col customWidth="1" min="11" max="11" width="8.38"/>
  </cols>
  <sheetData>
    <row r="1">
      <c r="A1" s="3" t="s">
        <v>1</v>
      </c>
      <c r="B1" s="1"/>
      <c r="C1" s="1" t="s">
        <v>2</v>
      </c>
      <c r="D1" s="1" t="s">
        <v>4</v>
      </c>
      <c r="E1" s="1" t="s">
        <v>6</v>
      </c>
      <c r="F1" s="1" t="s">
        <v>8</v>
      </c>
      <c r="G1" s="1" t="s">
        <v>11</v>
      </c>
      <c r="H1" s="6" t="s">
        <v>15</v>
      </c>
      <c r="I1" s="6" t="s">
        <v>21</v>
      </c>
      <c r="J1" s="6" t="s">
        <v>23</v>
      </c>
      <c r="K1" s="6" t="s">
        <v>13</v>
      </c>
    </row>
    <row r="2">
      <c r="A2" s="7" t="s">
        <v>24</v>
      </c>
      <c r="B2" s="8" t="s">
        <v>28</v>
      </c>
      <c r="C2" s="8" t="s">
        <v>32</v>
      </c>
      <c r="D2" s="9">
        <v>74100.0</v>
      </c>
      <c r="E2" s="10">
        <v>84000.0</v>
      </c>
      <c r="F2" s="10">
        <v>5.0</v>
      </c>
      <c r="G2" s="11" t="str">
        <f>IFERROR(__xludf.DUMMYFUNCTION("IF(OR(A2="""",F2=""""),"""",TEXT(WORKDAY(DATE(VALUE(LEFT(TO_TEXT(A2),4)),VALUE(MID(TO_TEXT(A2),5,2)),VALUE(RIGHT(TO_TEXT(A2),2))),F2),""yyyymmdd""))"),"20260831")</f>
        <v>20260831</v>
      </c>
      <c r="H2" s="12">
        <f t="shared" ref="H2:H990" si="1">IF(OR(D2="",E2="",D2=0),"",E2/D2-1)</f>
        <v>0.1336032389</v>
      </c>
      <c r="I2" s="14">
        <v>74100.0</v>
      </c>
      <c r="J2" s="14">
        <v>75300.0</v>
      </c>
      <c r="K2" s="16">
        <v>2.0260825E7</v>
      </c>
    </row>
    <row r="3">
      <c r="A3" s="7" t="s">
        <v>24</v>
      </c>
      <c r="B3" s="8" t="s">
        <v>28</v>
      </c>
      <c r="C3" s="8" t="s">
        <v>48</v>
      </c>
      <c r="D3" s="9">
        <v>63500.0</v>
      </c>
      <c r="E3" s="10">
        <v>67400.0</v>
      </c>
      <c r="F3" s="10">
        <v>5.0</v>
      </c>
      <c r="G3" s="11" t="str">
        <f>IFERROR(__xludf.DUMMYFUNCTION("IF(OR(A3="""",F3=""""),"""",TEXT(WORKDAY(DATE(VALUE(LEFT(TO_TEXT(A3),4)),VALUE(MID(TO_TEXT(A3),5,2)),VALUE(RIGHT(TO_TEXT(A3),2))),F3),""yyyymmdd""))"),"20260831")</f>
        <v>20260831</v>
      </c>
      <c r="H3" s="12">
        <f t="shared" si="1"/>
        <v>0.06141732283</v>
      </c>
      <c r="I3" s="14">
        <v>63500.0</v>
      </c>
      <c r="J3" s="14">
        <v>60200.0</v>
      </c>
      <c r="K3" s="16">
        <v>2.0260903E7</v>
      </c>
    </row>
    <row r="4">
      <c r="A4" s="7" t="s">
        <v>62</v>
      </c>
      <c r="B4" s="8" t="s">
        <v>28</v>
      </c>
      <c r="C4" s="8" t="s">
        <v>51</v>
      </c>
      <c r="D4" s="9">
        <v>33300.0</v>
      </c>
      <c r="E4" s="10">
        <v>47000.0</v>
      </c>
      <c r="F4" s="10">
        <v>21.0</v>
      </c>
      <c r="G4" s="11" t="str">
        <f>IFERROR(__xludf.DUMMYFUNCTION("IF(OR(A4="""",F4=""""),"""",TEXT(WORKDAY(DATE(VALUE(LEFT(TO_TEXT(A4),4)),VALUE(MID(TO_TEXT(A4),5,2)),VALUE(RIGHT(TO_TEXT(A4),2))),F4),""yyyymmdd""))"),"20260923")</f>
        <v>20260923</v>
      </c>
      <c r="H4" s="12">
        <f t="shared" si="1"/>
        <v>0.4114114114</v>
      </c>
      <c r="I4" s="14">
        <v>33300.0</v>
      </c>
      <c r="J4" s="14">
        <v>33350.0</v>
      </c>
      <c r="K4" s="16">
        <v>2.0260825E7</v>
      </c>
    </row>
    <row r="5">
      <c r="A5" s="7" t="s">
        <v>62</v>
      </c>
      <c r="B5" s="8" t="s">
        <v>28</v>
      </c>
      <c r="C5" s="8" t="s">
        <v>51</v>
      </c>
      <c r="D5" s="9">
        <v>33250.0</v>
      </c>
      <c r="E5" s="10">
        <v>47000.0</v>
      </c>
      <c r="F5" s="10">
        <v>21.0</v>
      </c>
      <c r="G5" s="11" t="str">
        <f>IFERROR(__xludf.DUMMYFUNCTION("IF(OR(A5="""",F5=""""),"""",TEXT(WORKDAY(DATE(VALUE(LEFT(TO_TEXT(A5),4)),VALUE(MID(TO_TEXT(A5),5,2)),VALUE(RIGHT(TO_TEXT(A5),2))),F5),""yyyymmdd""))"),"20260923")</f>
        <v>20260923</v>
      </c>
      <c r="H5" s="12">
        <f t="shared" si="1"/>
        <v>0.4135338346</v>
      </c>
      <c r="I5" s="14">
        <v>33250.0</v>
      </c>
      <c r="J5" s="14">
        <v>33350.0</v>
      </c>
      <c r="K5" s="16">
        <v>2.0260825E7</v>
      </c>
    </row>
    <row r="6">
      <c r="A6" s="7" t="s">
        <v>62</v>
      </c>
      <c r="B6" s="8" t="s">
        <v>28</v>
      </c>
      <c r="C6" s="8" t="s">
        <v>52</v>
      </c>
      <c r="D6" s="9">
        <v>12580.0</v>
      </c>
      <c r="E6" s="10">
        <v>14100.0</v>
      </c>
      <c r="F6" s="10">
        <v>21.0</v>
      </c>
      <c r="G6" s="11" t="str">
        <f>IFERROR(__xludf.DUMMYFUNCTION("IF(OR(A6="""",F6=""""),"""",TEXT(WORKDAY(DATE(VALUE(LEFT(TO_TEXT(A6),4)),VALUE(MID(TO_TEXT(A6),5,2)),VALUE(RIGHT(TO_TEXT(A6),2))),F6),""yyyymmdd""))"),"20260923")</f>
        <v>20260923</v>
      </c>
      <c r="H6" s="12">
        <f t="shared" si="1"/>
        <v>0.1208267091</v>
      </c>
      <c r="I6" s="14">
        <v>12580.0</v>
      </c>
      <c r="J6" s="14">
        <v>13610.0</v>
      </c>
      <c r="K6" s="16">
        <v>2.0260827E7</v>
      </c>
    </row>
    <row r="7">
      <c r="A7" s="7" t="s">
        <v>72</v>
      </c>
      <c r="B7" s="8" t="s">
        <v>28</v>
      </c>
      <c r="C7" s="8" t="s">
        <v>54</v>
      </c>
      <c r="D7" s="9">
        <v>33850.0</v>
      </c>
      <c r="E7" s="10">
        <v>39000.0</v>
      </c>
      <c r="F7" s="10">
        <v>20.0</v>
      </c>
      <c r="G7" s="11" t="str">
        <f>IFERROR(__xludf.DUMMYFUNCTION("IF(OR(A7="""",F7=""""),"""",TEXT(WORKDAY(DATE(VALUE(LEFT(TO_TEXT(A7),4)),VALUE(MID(TO_TEXT(A7),5,2)),VALUE(RIGHT(TO_TEXT(A7),2))),F7),""yyyymmdd""))"),"20260923")</f>
        <v>20260923</v>
      </c>
      <c r="H7" s="12">
        <f t="shared" si="1"/>
        <v>0.1521418021</v>
      </c>
      <c r="I7" s="14">
        <v>33850.0</v>
      </c>
      <c r="J7" s="14">
        <v>33450.0</v>
      </c>
      <c r="K7" s="16">
        <v>2.0260901E7</v>
      </c>
    </row>
    <row r="8">
      <c r="A8" s="7" t="s">
        <v>72</v>
      </c>
      <c r="B8" s="8" t="s">
        <v>28</v>
      </c>
      <c r="C8" s="8" t="s">
        <v>55</v>
      </c>
      <c r="D8" s="9">
        <v>65100.0</v>
      </c>
      <c r="E8" s="10">
        <v>72000.0</v>
      </c>
      <c r="F8" s="10">
        <v>26.0</v>
      </c>
      <c r="G8" s="11" t="str">
        <f>IFERROR(__xludf.DUMMYFUNCTION("IF(OR(A8="""",F8=""""),"""",TEXT(WORKDAY(DATE(VALUE(LEFT(TO_TEXT(A8),4)),VALUE(MID(TO_TEXT(A8),5,2)),VALUE(RIGHT(TO_TEXT(A8),2))),F8),""yyyymmdd""))"),"20261001")</f>
        <v>20261001</v>
      </c>
      <c r="H8" s="12">
        <f t="shared" si="1"/>
        <v>0.1059907834</v>
      </c>
      <c r="I8" s="14">
        <v>65100.0</v>
      </c>
      <c r="J8" s="14">
        <v>70000.0</v>
      </c>
      <c r="K8" s="16">
        <v>2.0260828E7</v>
      </c>
    </row>
    <row r="9">
      <c r="A9" s="7" t="s">
        <v>72</v>
      </c>
      <c r="B9" s="8" t="s">
        <v>28</v>
      </c>
      <c r="C9" s="8" t="s">
        <v>25</v>
      </c>
      <c r="D9" s="9">
        <v>58600.0</v>
      </c>
      <c r="E9" s="10">
        <v>80000.0</v>
      </c>
      <c r="F9" s="10">
        <v>20.0</v>
      </c>
      <c r="G9" s="11" t="str">
        <f>IFERROR(__xludf.DUMMYFUNCTION("IF(OR(A9="""",F9=""""),"""",TEXT(WORKDAY(DATE(VALUE(LEFT(TO_TEXT(A9),4)),VALUE(MID(TO_TEXT(A9),5,2)),VALUE(RIGHT(TO_TEXT(A9),2))),F9),""yyyymmdd""))"),"20260923")</f>
        <v>20260923</v>
      </c>
      <c r="H9" s="12">
        <f t="shared" si="1"/>
        <v>0.3651877133</v>
      </c>
      <c r="I9" s="14">
        <v>58600.0</v>
      </c>
      <c r="J9" s="14">
        <v>53300.0</v>
      </c>
      <c r="K9" s="16">
        <v>2.0260902E7</v>
      </c>
    </row>
    <row r="10">
      <c r="A10" s="7" t="s">
        <v>72</v>
      </c>
      <c r="B10" s="8" t="s">
        <v>28</v>
      </c>
      <c r="C10" s="8" t="s">
        <v>25</v>
      </c>
      <c r="D10" s="9">
        <v>58500.0</v>
      </c>
      <c r="E10" s="10">
        <v>80000.0</v>
      </c>
      <c r="F10" s="10">
        <v>20.0</v>
      </c>
      <c r="G10" s="11" t="str">
        <f>IFERROR(__xludf.DUMMYFUNCTION("IF(OR(A10="""",F10=""""),"""",TEXT(WORKDAY(DATE(VALUE(LEFT(TO_TEXT(A10),4)),VALUE(MID(TO_TEXT(A10),5,2)),VALUE(RIGHT(TO_TEXT(A10),2))),F10),""yyyymmdd""))"),"20260923")</f>
        <v>20260923</v>
      </c>
      <c r="H10" s="12">
        <f t="shared" si="1"/>
        <v>0.3675213675</v>
      </c>
      <c r="I10" s="14">
        <v>58500.0</v>
      </c>
      <c r="J10" s="14">
        <v>53300.0</v>
      </c>
      <c r="K10" s="16">
        <v>2.0260902E7</v>
      </c>
    </row>
    <row r="11">
      <c r="A11" s="7" t="s">
        <v>91</v>
      </c>
      <c r="B11" s="8" t="s">
        <v>28</v>
      </c>
      <c r="C11" s="8" t="s">
        <v>53</v>
      </c>
      <c r="D11" s="9">
        <v>33750.0</v>
      </c>
      <c r="E11" s="10">
        <v>37500.0</v>
      </c>
      <c r="F11" s="10">
        <v>20.0</v>
      </c>
      <c r="G11" s="11" t="str">
        <f>IFERROR(__xludf.DUMMYFUNCTION("IF(OR(A11="""",F11=""""),"""",TEXT(WORKDAY(DATE(VALUE(LEFT(TO_TEXT(A11),4)),VALUE(MID(TO_TEXT(A11),5,2)),VALUE(RIGHT(TO_TEXT(A11),2))),F11),""yyyymmdd""))"),"20260924")</f>
        <v>20260924</v>
      </c>
      <c r="H11" s="12">
        <f t="shared" si="1"/>
        <v>0.1111111111</v>
      </c>
      <c r="I11" s="14">
        <v>33750.0</v>
      </c>
      <c r="J11" s="14">
        <v>33300.0</v>
      </c>
      <c r="K11" s="16">
        <v>2.0260828E7</v>
      </c>
    </row>
    <row r="12">
      <c r="A12" s="7" t="s">
        <v>91</v>
      </c>
      <c r="B12" s="8" t="s">
        <v>28</v>
      </c>
      <c r="C12" s="8" t="s">
        <v>53</v>
      </c>
      <c r="D12" s="9">
        <v>32950.0</v>
      </c>
      <c r="E12" s="10">
        <v>37500.0</v>
      </c>
      <c r="F12" s="10">
        <v>20.0</v>
      </c>
      <c r="G12" s="11" t="str">
        <f>IFERROR(__xludf.DUMMYFUNCTION("IF(OR(A12="""",F12=""""),"""",TEXT(WORKDAY(DATE(VALUE(LEFT(TO_TEXT(A12),4)),VALUE(MID(TO_TEXT(A12),5,2)),VALUE(RIGHT(TO_TEXT(A12),2))),F12),""yyyymmdd""))"),"20260924")</f>
        <v>20260924</v>
      </c>
      <c r="H12" s="12">
        <f t="shared" si="1"/>
        <v>0.1380880121</v>
      </c>
      <c r="I12" s="14">
        <v>32950.0</v>
      </c>
      <c r="J12" s="14">
        <v>33300.0</v>
      </c>
      <c r="K12" s="16">
        <v>2.0260828E7</v>
      </c>
    </row>
    <row r="13">
      <c r="A13" s="7" t="s">
        <v>91</v>
      </c>
      <c r="B13" s="8" t="s">
        <v>28</v>
      </c>
      <c r="C13" s="8" t="s">
        <v>53</v>
      </c>
      <c r="D13" s="9">
        <v>32850.0</v>
      </c>
      <c r="E13" s="10">
        <v>37500.0</v>
      </c>
      <c r="F13" s="10">
        <v>20.0</v>
      </c>
      <c r="G13" s="11" t="str">
        <f>IFERROR(__xludf.DUMMYFUNCTION("IF(OR(A13="""",F13=""""),"""",TEXT(WORKDAY(DATE(VALUE(LEFT(TO_TEXT(A13),4)),VALUE(MID(TO_TEXT(A13),5,2)),VALUE(RIGHT(TO_TEXT(A13),2))),F13),""yyyymmdd""))"),"20260924")</f>
        <v>20260924</v>
      </c>
      <c r="H13" s="12">
        <f t="shared" si="1"/>
        <v>0.1415525114</v>
      </c>
      <c r="I13" s="14">
        <v>32850.0</v>
      </c>
      <c r="J13" s="14">
        <v>33300.0</v>
      </c>
      <c r="K13" s="16">
        <v>2.0260828E7</v>
      </c>
    </row>
    <row r="14">
      <c r="A14" s="7" t="s">
        <v>102</v>
      </c>
      <c r="B14" s="8" t="s">
        <v>28</v>
      </c>
      <c r="C14" s="8" t="s">
        <v>57</v>
      </c>
      <c r="D14" s="9">
        <v>7640.0</v>
      </c>
      <c r="E14" s="10">
        <v>8500.0</v>
      </c>
      <c r="F14" s="10">
        <v>35.0</v>
      </c>
      <c r="G14" s="11" t="str">
        <f>IFERROR(__xludf.DUMMYFUNCTION("IF(OR(A14="""",F14=""""),"""",TEXT(WORKDAY(DATE(VALUE(LEFT(TO_TEXT(A14),4)),VALUE(MID(TO_TEXT(A14),5,2)),VALUE(RIGHT(TO_TEXT(A14),2))),F14),""yyyymmdd""))"),"20261016")</f>
        <v>20261016</v>
      </c>
      <c r="H14" s="12">
        <f t="shared" si="1"/>
        <v>0.112565445</v>
      </c>
      <c r="I14" s="14">
        <v>7640.0</v>
      </c>
      <c r="J14" s="14">
        <v>7240.0</v>
      </c>
      <c r="K14" s="16">
        <v>2.0260831E7</v>
      </c>
    </row>
    <row r="15">
      <c r="A15" s="7" t="s">
        <v>109</v>
      </c>
      <c r="B15" s="8" t="s">
        <v>28</v>
      </c>
      <c r="C15" s="8" t="s">
        <v>34</v>
      </c>
      <c r="D15" s="9">
        <v>61400.0</v>
      </c>
      <c r="E15" s="10">
        <v>74800.0</v>
      </c>
      <c r="F15" s="10">
        <v>10.0</v>
      </c>
      <c r="G15" s="11" t="str">
        <f>IFERROR(__xludf.DUMMYFUNCTION("IF(OR(A15="""",F15=""""),"""",TEXT(WORKDAY(DATE(VALUE(LEFT(TO_TEXT(A15),4)),VALUE(MID(TO_TEXT(A15),5,2)),VALUE(RIGHT(TO_TEXT(A15),2))),F15),""yyyymmdd""))"),"20260917")</f>
        <v>20260917</v>
      </c>
      <c r="H15" s="12">
        <f t="shared" si="1"/>
        <v>0.2182410423</v>
      </c>
      <c r="I15" s="14">
        <v>61400.0</v>
      </c>
      <c r="J15" s="14">
        <v>60600.0</v>
      </c>
      <c r="K15" s="16">
        <v>2.0260903E7</v>
      </c>
    </row>
    <row r="16">
      <c r="A16" s="7" t="s">
        <v>116</v>
      </c>
      <c r="B16" s="8" t="s">
        <v>28</v>
      </c>
      <c r="C16" s="8" t="s">
        <v>61</v>
      </c>
      <c r="D16" s="9">
        <v>64800.0</v>
      </c>
      <c r="E16" s="10">
        <v>72000.0</v>
      </c>
      <c r="F16" s="10">
        <v>30.0</v>
      </c>
      <c r="G16" s="11" t="str">
        <f>IFERROR(__xludf.DUMMYFUNCTION("IF(OR(A16="""",F16=""""),"""",TEXT(WORKDAY(DATE(VALUE(LEFT(TO_TEXT(A16),4)),VALUE(MID(TO_TEXT(A16),5,2)),VALUE(RIGHT(TO_TEXT(A16),2))),F16),""yyyymmdd""))"),"20261019")</f>
        <v>20261019</v>
      </c>
      <c r="H16" s="12">
        <f t="shared" si="1"/>
        <v>0.1111111111</v>
      </c>
      <c r="I16" s="14">
        <v>64800.0</v>
      </c>
      <c r="J16" s="14">
        <v>65200.0</v>
      </c>
      <c r="K16" s="16">
        <v>2.0260907E7</v>
      </c>
    </row>
    <row r="17">
      <c r="A17" s="7" t="s">
        <v>117</v>
      </c>
      <c r="B17" s="8" t="s">
        <v>28</v>
      </c>
      <c r="C17" s="8" t="s">
        <v>52</v>
      </c>
      <c r="D17" s="9">
        <v>12840.0</v>
      </c>
      <c r="E17" s="10">
        <v>14000.0</v>
      </c>
      <c r="F17" s="10">
        <v>30.0</v>
      </c>
      <c r="G17" s="11" t="str">
        <f>IFERROR(__xludf.DUMMYFUNCTION("IF(OR(A17="""",F17=""""),"""",TEXT(WORKDAY(DATE(VALUE(LEFT(TO_TEXT(A17),4)),VALUE(MID(TO_TEXT(A17),5,2)),VALUE(RIGHT(TO_TEXT(A17),2))),F17),""yyyymmdd""))"),"20261020")</f>
        <v>20261020</v>
      </c>
      <c r="H17" s="12">
        <f t="shared" si="1"/>
        <v>0.09034267913</v>
      </c>
      <c r="I17" s="14">
        <v>12840.0</v>
      </c>
      <c r="J17" s="14">
        <v>13100.0</v>
      </c>
      <c r="K17" s="16">
        <v>2.0260909E7</v>
      </c>
    </row>
    <row r="18">
      <c r="A18" s="7" t="s">
        <v>118</v>
      </c>
      <c r="B18" s="8" t="s">
        <v>28</v>
      </c>
      <c r="C18" s="8" t="s">
        <v>59</v>
      </c>
      <c r="D18" s="9">
        <v>30600.0</v>
      </c>
      <c r="E18" s="10">
        <v>33200.0</v>
      </c>
      <c r="F18" s="10">
        <v>20.0</v>
      </c>
      <c r="G18" s="11" t="str">
        <f>IFERROR(__xludf.DUMMYFUNCTION("IF(OR(A18="""",F18=""""),"""",TEXT(WORKDAY(DATE(VALUE(LEFT(TO_TEXT(A18),4)),VALUE(MID(TO_TEXT(A18),5,2)),VALUE(RIGHT(TO_TEXT(A18),2))),F18),""yyyymmdd""))"),"20261007")</f>
        <v>20261007</v>
      </c>
      <c r="H18" s="12">
        <f t="shared" si="1"/>
        <v>0.08496732026</v>
      </c>
      <c r="I18" s="14">
        <v>30600.0</v>
      </c>
      <c r="J18" s="14">
        <v>30500.0</v>
      </c>
      <c r="K18" s="16">
        <v>2.026091E7</v>
      </c>
    </row>
    <row r="19">
      <c r="A19" s="7" t="s">
        <v>118</v>
      </c>
      <c r="B19" s="8" t="s">
        <v>28</v>
      </c>
      <c r="C19" s="8" t="s">
        <v>59</v>
      </c>
      <c r="D19" s="9">
        <v>30150.0</v>
      </c>
      <c r="E19" s="10">
        <v>33200.0</v>
      </c>
      <c r="F19" s="10">
        <v>20.0</v>
      </c>
      <c r="G19" s="11" t="str">
        <f>IFERROR(__xludf.DUMMYFUNCTION("IF(OR(A19="""",F19=""""),"""",TEXT(WORKDAY(DATE(VALUE(LEFT(TO_TEXT(A19),4)),VALUE(MID(TO_TEXT(A19),5,2)),VALUE(RIGHT(TO_TEXT(A19),2))),F19),""yyyymmdd""))"),"20261007")</f>
        <v>20261007</v>
      </c>
      <c r="H19" s="12">
        <f t="shared" si="1"/>
        <v>0.1011608624</v>
      </c>
      <c r="I19" s="14">
        <v>30150.0</v>
      </c>
      <c r="J19" s="14">
        <v>30500.0</v>
      </c>
      <c r="K19" s="16">
        <v>2.026091E7</v>
      </c>
    </row>
    <row r="20">
      <c r="A20" s="7" t="s">
        <v>119</v>
      </c>
      <c r="B20" s="8" t="s">
        <v>28</v>
      </c>
      <c r="C20" s="8" t="s">
        <v>66</v>
      </c>
      <c r="D20" s="9">
        <v>24250.0</v>
      </c>
      <c r="E20" s="10">
        <v>25600.0</v>
      </c>
      <c r="F20" s="10">
        <v>40.0</v>
      </c>
      <c r="G20" s="11" t="str">
        <f>IFERROR(__xludf.DUMMYFUNCTION("IF(OR(A20="""",F20=""""),"""",TEXT(WORKDAY(DATE(VALUE(LEFT(TO_TEXT(A20),4)),VALUE(MID(TO_TEXT(A20),5,2)),VALUE(RIGHT(TO_TEXT(A20),2))),F20),""yyyymmdd""))"),"20261113")</f>
        <v>20261113</v>
      </c>
      <c r="H20" s="12">
        <f t="shared" si="1"/>
        <v>0.05567010309</v>
      </c>
      <c r="I20" s="14">
        <v>24250.0</v>
      </c>
      <c r="J20" s="14">
        <v>24200.0</v>
      </c>
      <c r="K20" s="16">
        <v>2.0260928E7</v>
      </c>
    </row>
    <row r="21">
      <c r="A21" s="7" t="s">
        <v>119</v>
      </c>
      <c r="B21" s="8" t="s">
        <v>28</v>
      </c>
      <c r="C21" s="8" t="s">
        <v>18</v>
      </c>
      <c r="D21" s="9">
        <v>23400.0</v>
      </c>
      <c r="E21" s="10">
        <v>25100.0</v>
      </c>
      <c r="F21" s="10">
        <v>30.0</v>
      </c>
      <c r="G21" s="11" t="str">
        <f>IFERROR(__xludf.DUMMYFUNCTION("IF(OR(A21="""",F21=""""),"""",TEXT(WORKDAY(DATE(VALUE(LEFT(TO_TEXT(A21),4)),VALUE(MID(TO_TEXT(A21),5,2)),VALUE(RIGHT(TO_TEXT(A21),2))),F21),""yyyymmdd""))"),"20261030")</f>
        <v>20261030</v>
      </c>
      <c r="H21" s="12">
        <f t="shared" si="1"/>
        <v>0.07264957265</v>
      </c>
      <c r="I21" s="14">
        <v>23400.0</v>
      </c>
      <c r="J21" s="14">
        <v>22900.0</v>
      </c>
      <c r="K21" s="16">
        <v>2.0260929E7</v>
      </c>
    </row>
    <row r="22">
      <c r="A22" s="7" t="s">
        <v>119</v>
      </c>
      <c r="B22" s="8" t="s">
        <v>28</v>
      </c>
      <c r="C22" s="8" t="s">
        <v>63</v>
      </c>
      <c r="D22" s="9">
        <v>12720.0</v>
      </c>
      <c r="E22" s="10">
        <v>13200.0</v>
      </c>
      <c r="F22" s="10">
        <v>5.0</v>
      </c>
      <c r="G22" s="11" t="str">
        <f>IFERROR(__xludf.DUMMYFUNCTION("IF(OR(A22="""",F22=""""),"""",TEXT(WORKDAY(DATE(VALUE(LEFT(TO_TEXT(A22),4)),VALUE(MID(TO_TEXT(A22),5,2)),VALUE(RIGHT(TO_TEXT(A22),2))),F22),""yyyymmdd""))"),"20260925")</f>
        <v>20260925</v>
      </c>
      <c r="H22" s="12">
        <f t="shared" si="1"/>
        <v>0.03773584906</v>
      </c>
      <c r="I22" s="14">
        <v>12720.0</v>
      </c>
      <c r="J22" s="14">
        <v>13300.0</v>
      </c>
      <c r="K22" s="16">
        <v>2.0260921E7</v>
      </c>
    </row>
    <row r="23">
      <c r="A23" s="7" t="s">
        <v>119</v>
      </c>
      <c r="B23" s="8" t="s">
        <v>28</v>
      </c>
      <c r="C23" s="8" t="s">
        <v>18</v>
      </c>
      <c r="D23" s="9">
        <v>23500.0</v>
      </c>
      <c r="E23" s="10">
        <v>25100.0</v>
      </c>
      <c r="F23" s="10">
        <v>30.0</v>
      </c>
      <c r="G23" s="11" t="str">
        <f>IFERROR(__xludf.DUMMYFUNCTION("IF(OR(A23="""",F23=""""),"""",TEXT(WORKDAY(DATE(VALUE(LEFT(TO_TEXT(A23),4)),VALUE(MID(TO_TEXT(A23),5,2)),VALUE(RIGHT(TO_TEXT(A23),2))),F23),""yyyymmdd""))"),"20261030")</f>
        <v>20261030</v>
      </c>
      <c r="H23" s="12">
        <f t="shared" si="1"/>
        <v>0.06808510638</v>
      </c>
      <c r="I23" s="14">
        <v>23500.0</v>
      </c>
      <c r="J23" s="14">
        <v>22900.0</v>
      </c>
      <c r="K23" s="16">
        <v>2.0260929E7</v>
      </c>
    </row>
    <row r="24">
      <c r="A24" s="7" t="s">
        <v>119</v>
      </c>
      <c r="B24" s="8" t="s">
        <v>28</v>
      </c>
      <c r="C24" s="8" t="s">
        <v>66</v>
      </c>
      <c r="D24" s="9">
        <v>24350.0</v>
      </c>
      <c r="E24" s="10">
        <v>25600.0</v>
      </c>
      <c r="F24" s="10">
        <v>40.0</v>
      </c>
      <c r="G24" s="11" t="str">
        <f>IFERROR(__xludf.DUMMYFUNCTION("IF(OR(A24="""",F24=""""),"""",TEXT(WORKDAY(DATE(VALUE(LEFT(TO_TEXT(A24),4)),VALUE(MID(TO_TEXT(A24),5,2)),VALUE(RIGHT(TO_TEXT(A24),2))),F24),""yyyymmdd""))"),"20261113")</f>
        <v>20261113</v>
      </c>
      <c r="H24" s="12">
        <f t="shared" si="1"/>
        <v>0.05133470226</v>
      </c>
      <c r="I24" s="14">
        <v>24350.0</v>
      </c>
      <c r="J24" s="14">
        <v>24200.0</v>
      </c>
      <c r="K24" s="16">
        <v>2.0260928E7</v>
      </c>
    </row>
    <row r="25">
      <c r="A25" s="7" t="s">
        <v>119</v>
      </c>
      <c r="B25" s="8" t="s">
        <v>28</v>
      </c>
      <c r="C25" s="8" t="s">
        <v>64</v>
      </c>
      <c r="D25" s="9">
        <v>57700.0</v>
      </c>
      <c r="E25" s="10">
        <v>62000.0</v>
      </c>
      <c r="F25" s="10">
        <v>60.0</v>
      </c>
      <c r="G25" s="11" t="str">
        <f>IFERROR(__xludf.DUMMYFUNCTION("IF(OR(A25="""",F25=""""),"""",TEXT(WORKDAY(DATE(VALUE(LEFT(TO_TEXT(A25),4)),VALUE(MID(TO_TEXT(A25),5,2)),VALUE(RIGHT(TO_TEXT(A25),2))),F25),""yyyymmdd""))"),"20261211")</f>
        <v>20261211</v>
      </c>
      <c r="H25" s="12">
        <f t="shared" si="1"/>
        <v>0.07452339688</v>
      </c>
      <c r="I25" s="14">
        <v>57700.0</v>
      </c>
      <c r="J25" s="14">
        <v>54100.0</v>
      </c>
      <c r="K25" s="16">
        <v>2.0260929E7</v>
      </c>
    </row>
    <row r="26">
      <c r="A26" s="7" t="s">
        <v>119</v>
      </c>
      <c r="B26" s="8" t="s">
        <v>28</v>
      </c>
      <c r="C26" s="8" t="s">
        <v>64</v>
      </c>
      <c r="D26" s="9">
        <v>57700.0</v>
      </c>
      <c r="E26" s="10">
        <v>62000.0</v>
      </c>
      <c r="F26" s="10">
        <v>60.0</v>
      </c>
      <c r="G26" s="11" t="str">
        <f>IFERROR(__xludf.DUMMYFUNCTION("IF(OR(A26="""",F26=""""),"""",TEXT(WORKDAY(DATE(VALUE(LEFT(TO_TEXT(A26),4)),VALUE(MID(TO_TEXT(A26),5,2)),VALUE(RIGHT(TO_TEXT(A26),2))),F26),""yyyymmdd""))"),"20261211")</f>
        <v>20261211</v>
      </c>
      <c r="H26" s="12">
        <f t="shared" si="1"/>
        <v>0.07452339688</v>
      </c>
      <c r="I26" s="14">
        <v>57700.0</v>
      </c>
      <c r="J26" s="14">
        <v>54100.0</v>
      </c>
      <c r="K26" s="16">
        <v>2.0260929E7</v>
      </c>
    </row>
    <row r="27">
      <c r="A27" s="7" t="s">
        <v>119</v>
      </c>
      <c r="B27" s="8" t="s">
        <v>28</v>
      </c>
      <c r="C27" s="8" t="s">
        <v>64</v>
      </c>
      <c r="D27" s="9">
        <v>57500.0</v>
      </c>
      <c r="E27" s="10">
        <v>62000.0</v>
      </c>
      <c r="F27" s="10">
        <v>60.0</v>
      </c>
      <c r="G27" s="11" t="str">
        <f>IFERROR(__xludf.DUMMYFUNCTION("IF(OR(A27="""",F27=""""),"""",TEXT(WORKDAY(DATE(VALUE(LEFT(TO_TEXT(A27),4)),VALUE(MID(TO_TEXT(A27),5,2)),VALUE(RIGHT(TO_TEXT(A27),2))),F27),""yyyymmdd""))"),"20261211")</f>
        <v>20261211</v>
      </c>
      <c r="H27" s="12">
        <f t="shared" si="1"/>
        <v>0.07826086957</v>
      </c>
      <c r="I27" s="14">
        <v>57500.0</v>
      </c>
      <c r="J27" s="14">
        <v>54100.0</v>
      </c>
      <c r="K27" s="16">
        <v>2.0260929E7</v>
      </c>
    </row>
    <row r="28">
      <c r="A28" s="7" t="s">
        <v>119</v>
      </c>
      <c r="B28" s="8" t="s">
        <v>28</v>
      </c>
      <c r="C28" s="8" t="s">
        <v>64</v>
      </c>
      <c r="D28" s="9">
        <v>57300.0</v>
      </c>
      <c r="E28" s="10">
        <v>62000.0</v>
      </c>
      <c r="F28" s="10">
        <v>60.0</v>
      </c>
      <c r="G28" s="11" t="str">
        <f>IFERROR(__xludf.DUMMYFUNCTION("IF(OR(A28="""",F28=""""),"""",TEXT(WORKDAY(DATE(VALUE(LEFT(TO_TEXT(A28),4)),VALUE(MID(TO_TEXT(A28),5,2)),VALUE(RIGHT(TO_TEXT(A28),2))),F28),""yyyymmdd""))"),"20261211")</f>
        <v>20261211</v>
      </c>
      <c r="H28" s="12">
        <f t="shared" si="1"/>
        <v>0.08202443281</v>
      </c>
      <c r="I28" s="14">
        <v>57300.0</v>
      </c>
      <c r="J28" s="14">
        <v>54100.0</v>
      </c>
      <c r="K28" s="16">
        <v>2.0260929E7</v>
      </c>
    </row>
    <row r="29">
      <c r="A29" s="7" t="s">
        <v>119</v>
      </c>
      <c r="B29" s="8" t="s">
        <v>28</v>
      </c>
      <c r="C29" s="8" t="s">
        <v>67</v>
      </c>
      <c r="D29" s="9">
        <v>19550.0</v>
      </c>
      <c r="E29" s="10">
        <v>22500.0</v>
      </c>
      <c r="F29" s="10">
        <v>35.0</v>
      </c>
      <c r="G29" s="11" t="str">
        <f>IFERROR(__xludf.DUMMYFUNCTION("IF(OR(A29="""",F29=""""),"""",TEXT(WORKDAY(DATE(VALUE(LEFT(TO_TEXT(A29),4)),VALUE(MID(TO_TEXT(A29),5,2)),VALUE(RIGHT(TO_TEXT(A29),2))),F29),""yyyymmdd""))"),"20261106")</f>
        <v>20261106</v>
      </c>
      <c r="H29" s="12">
        <f t="shared" si="1"/>
        <v>0.1508951407</v>
      </c>
      <c r="I29" s="14">
        <v>19550.0</v>
      </c>
      <c r="J29" s="14">
        <v>19820.0</v>
      </c>
      <c r="K29" s="16">
        <v>2.0260922E7</v>
      </c>
    </row>
    <row r="30">
      <c r="A30" s="7" t="s">
        <v>119</v>
      </c>
      <c r="B30" s="8" t="s">
        <v>28</v>
      </c>
      <c r="C30" s="8" t="s">
        <v>18</v>
      </c>
      <c r="D30" s="9">
        <v>23400.0</v>
      </c>
      <c r="E30" s="10">
        <v>25100.0</v>
      </c>
      <c r="F30" s="10">
        <v>30.0</v>
      </c>
      <c r="G30" s="11" t="str">
        <f>IFERROR(__xludf.DUMMYFUNCTION("IF(OR(A30="""",F30=""""),"""",TEXT(WORKDAY(DATE(VALUE(LEFT(TO_TEXT(A30),4)),VALUE(MID(TO_TEXT(A30),5,2)),VALUE(RIGHT(TO_TEXT(A30),2))),F30),""yyyymmdd""))"),"20261030")</f>
        <v>20261030</v>
      </c>
      <c r="H30" s="12">
        <f t="shared" si="1"/>
        <v>0.07264957265</v>
      </c>
      <c r="I30" s="14">
        <v>23400.0</v>
      </c>
      <c r="J30" s="14">
        <v>22900.0</v>
      </c>
      <c r="K30" s="16">
        <v>2.0260929E7</v>
      </c>
    </row>
    <row r="31">
      <c r="A31" s="7" t="s">
        <v>119</v>
      </c>
      <c r="B31" s="8" t="s">
        <v>28</v>
      </c>
      <c r="C31" s="8" t="s">
        <v>18</v>
      </c>
      <c r="D31" s="9">
        <v>23350.0</v>
      </c>
      <c r="E31" s="10">
        <v>25100.0</v>
      </c>
      <c r="F31" s="10">
        <v>30.0</v>
      </c>
      <c r="G31" s="11" t="str">
        <f>IFERROR(__xludf.DUMMYFUNCTION("IF(OR(A31="""",F31=""""),"""",TEXT(WORKDAY(DATE(VALUE(LEFT(TO_TEXT(A31),4)),VALUE(MID(TO_TEXT(A31),5,2)),VALUE(RIGHT(TO_TEXT(A31),2))),F31),""yyyymmdd""))"),"20261030")</f>
        <v>20261030</v>
      </c>
      <c r="H31" s="12">
        <f t="shared" si="1"/>
        <v>0.07494646681</v>
      </c>
      <c r="I31" s="14">
        <v>23350.0</v>
      </c>
      <c r="J31" s="14">
        <v>22900.0</v>
      </c>
      <c r="K31" s="16">
        <v>2.0260929E7</v>
      </c>
    </row>
    <row r="32">
      <c r="A32" s="7" t="s">
        <v>119</v>
      </c>
      <c r="B32" s="8" t="s">
        <v>28</v>
      </c>
      <c r="C32" s="8" t="s">
        <v>64</v>
      </c>
      <c r="D32" s="9">
        <v>57200.0</v>
      </c>
      <c r="E32" s="10">
        <v>62000.0</v>
      </c>
      <c r="F32" s="10">
        <v>60.0</v>
      </c>
      <c r="G32" s="11" t="str">
        <f>IFERROR(__xludf.DUMMYFUNCTION("IF(OR(A32="""",F32=""""),"""",TEXT(WORKDAY(DATE(VALUE(LEFT(TO_TEXT(A32),4)),VALUE(MID(TO_TEXT(A32),5,2)),VALUE(RIGHT(TO_TEXT(A32),2))),F32),""yyyymmdd""))"),"20261211")</f>
        <v>20261211</v>
      </c>
      <c r="H32" s="12">
        <f t="shared" si="1"/>
        <v>0.08391608392</v>
      </c>
      <c r="I32" s="14">
        <v>57200.0</v>
      </c>
      <c r="J32" s="14">
        <v>54100.0</v>
      </c>
      <c r="K32" s="16">
        <v>2.0260929E7</v>
      </c>
    </row>
    <row r="33">
      <c r="A33" s="7" t="s">
        <v>119</v>
      </c>
      <c r="B33" s="8" t="s">
        <v>28</v>
      </c>
      <c r="C33" s="8" t="s">
        <v>64</v>
      </c>
      <c r="D33" s="9">
        <v>57100.0</v>
      </c>
      <c r="E33" s="10">
        <v>62000.0</v>
      </c>
      <c r="F33" s="10">
        <v>60.0</v>
      </c>
      <c r="G33" s="11" t="str">
        <f>IFERROR(__xludf.DUMMYFUNCTION("IF(OR(A33="""",F33=""""),"""",TEXT(WORKDAY(DATE(VALUE(LEFT(TO_TEXT(A33),4)),VALUE(MID(TO_TEXT(A33),5,2)),VALUE(RIGHT(TO_TEXT(A33),2))),F33),""yyyymmdd""))"),"20261211")</f>
        <v>20261211</v>
      </c>
      <c r="H33" s="12">
        <f t="shared" si="1"/>
        <v>0.08581436077</v>
      </c>
      <c r="I33" s="14">
        <v>57100.0</v>
      </c>
      <c r="J33" s="14">
        <v>54100.0</v>
      </c>
      <c r="K33" s="16">
        <v>2.0260929E7</v>
      </c>
    </row>
    <row r="34">
      <c r="A34" s="7" t="s">
        <v>119</v>
      </c>
      <c r="B34" s="8" t="s">
        <v>28</v>
      </c>
      <c r="C34" s="8" t="s">
        <v>66</v>
      </c>
      <c r="D34" s="9">
        <v>24250.0</v>
      </c>
      <c r="E34" s="10">
        <v>25600.0</v>
      </c>
      <c r="F34" s="10">
        <v>40.0</v>
      </c>
      <c r="G34" s="11" t="str">
        <f>IFERROR(__xludf.DUMMYFUNCTION("IF(OR(A34="""",F34=""""),"""",TEXT(WORKDAY(DATE(VALUE(LEFT(TO_TEXT(A34),4)),VALUE(MID(TO_TEXT(A34),5,2)),VALUE(RIGHT(TO_TEXT(A34),2))),F34),""yyyymmdd""))"),"20261113")</f>
        <v>20261113</v>
      </c>
      <c r="H34" s="12">
        <f t="shared" si="1"/>
        <v>0.05567010309</v>
      </c>
      <c r="I34" s="14">
        <v>24250.0</v>
      </c>
      <c r="J34" s="14">
        <v>24200.0</v>
      </c>
      <c r="K34" s="16">
        <v>2.0260928E7</v>
      </c>
    </row>
    <row r="35">
      <c r="A35" s="7" t="s">
        <v>121</v>
      </c>
      <c r="B35" s="8" t="s">
        <v>28</v>
      </c>
      <c r="C35" s="8" t="s">
        <v>99</v>
      </c>
      <c r="D35" s="9">
        <v>4060.0</v>
      </c>
      <c r="E35" s="10">
        <v>4220.0</v>
      </c>
      <c r="F35" s="10">
        <v>28.0</v>
      </c>
      <c r="G35" s="11" t="str">
        <f>IFERROR(__xludf.DUMMYFUNCTION("IF(OR(A35="""",F35=""""),"""",TEXT(WORKDAY(DATE(VALUE(LEFT(TO_TEXT(A35),4)),VALUE(MID(TO_TEXT(A35),5,2)),VALUE(RIGHT(TO_TEXT(A35),2))),F35),""yyyymmdd""))"),"20261106")</f>
        <v>20261106</v>
      </c>
      <c r="H35" s="25">
        <f t="shared" si="1"/>
        <v>0.039408867</v>
      </c>
      <c r="I35" s="14">
        <v>4060.0</v>
      </c>
      <c r="J35" s="26"/>
      <c r="K35" s="27"/>
      <c r="L35" s="1" t="s">
        <v>122</v>
      </c>
    </row>
    <row r="36">
      <c r="A36" s="7" t="s">
        <v>121</v>
      </c>
      <c r="B36" s="8" t="s">
        <v>28</v>
      </c>
      <c r="C36" s="8" t="s">
        <v>104</v>
      </c>
      <c r="D36" s="9">
        <v>4345.0</v>
      </c>
      <c r="E36" s="10">
        <v>4550.0</v>
      </c>
      <c r="F36" s="10">
        <v>33.0</v>
      </c>
      <c r="G36" s="11" t="str">
        <f>IFERROR(__xludf.DUMMYFUNCTION("IF(OR(A36="""",F36=""""),"""",TEXT(WORKDAY(DATE(VALUE(LEFT(TO_TEXT(A36),4)),VALUE(MID(TO_TEXT(A36),5,2)),VALUE(RIGHT(TO_TEXT(A36),2))),F36),""yyyymmdd""))"),"20261113")</f>
        <v>20261113</v>
      </c>
      <c r="H36" s="25">
        <f t="shared" si="1"/>
        <v>0.04718066743</v>
      </c>
      <c r="I36" s="14">
        <v>4345.0</v>
      </c>
      <c r="J36" s="26"/>
      <c r="K36" s="27"/>
    </row>
    <row r="37">
      <c r="A37" s="7" t="s">
        <v>121</v>
      </c>
      <c r="B37" s="8" t="s">
        <v>28</v>
      </c>
      <c r="C37" s="8" t="s">
        <v>106</v>
      </c>
      <c r="D37" s="9">
        <v>25650.0</v>
      </c>
      <c r="E37" s="10">
        <v>26200.0</v>
      </c>
      <c r="F37" s="10">
        <v>11.0</v>
      </c>
      <c r="G37" s="11" t="str">
        <f>IFERROR(__xludf.DUMMYFUNCTION("IF(OR(A37="""",F37=""""),"""",TEXT(WORKDAY(DATE(VALUE(LEFT(TO_TEXT(A37),4)),VALUE(MID(TO_TEXT(A37),5,2)),VALUE(RIGHT(TO_TEXT(A37),2))),F37),""yyyymmdd""))"),"20261014")</f>
        <v>20261014</v>
      </c>
      <c r="H37" s="25">
        <f t="shared" si="1"/>
        <v>0.02144249513</v>
      </c>
      <c r="I37" s="14">
        <v>25650.0</v>
      </c>
      <c r="J37" s="26"/>
      <c r="K37" s="27"/>
    </row>
    <row r="38">
      <c r="A38" s="7" t="s">
        <v>123</v>
      </c>
      <c r="B38" s="8" t="s">
        <v>28</v>
      </c>
      <c r="C38" s="8" t="s">
        <v>68</v>
      </c>
      <c r="D38" s="9">
        <v>55400.0</v>
      </c>
      <c r="E38" s="10">
        <v>57000.0</v>
      </c>
      <c r="F38" s="10">
        <v>2.0</v>
      </c>
      <c r="G38" s="11" t="str">
        <f>IFERROR(__xludf.DUMMYFUNCTION("IF(OR(A38="""",F38=""""),"""",TEXT(WORKDAY(DATE(VALUE(LEFT(TO_TEXT(A38),4)),VALUE(MID(TO_TEXT(A38),5,2)),VALUE(RIGHT(TO_TEXT(A38),2))),F38),""yyyymmdd""))"),"20261005")</f>
        <v>20261005</v>
      </c>
      <c r="H38" s="12">
        <f t="shared" si="1"/>
        <v>0.02888086643</v>
      </c>
      <c r="I38" s="14">
        <v>55400.0</v>
      </c>
      <c r="J38" s="14">
        <v>56100.0</v>
      </c>
      <c r="K38" s="16">
        <v>2.0261002E7</v>
      </c>
    </row>
    <row r="39">
      <c r="A39" s="7" t="s">
        <v>123</v>
      </c>
      <c r="B39" s="8" t="s">
        <v>28</v>
      </c>
      <c r="C39" s="8" t="s">
        <v>106</v>
      </c>
      <c r="D39" s="9">
        <v>25100.0</v>
      </c>
      <c r="E39" s="10">
        <v>26200.0</v>
      </c>
      <c r="F39" s="10">
        <v>11.0</v>
      </c>
      <c r="G39" s="11" t="str">
        <f>IFERROR(__xludf.DUMMYFUNCTION("IF(OR(A39="""",F39=""""),"""",TEXT(WORKDAY(DATE(VALUE(LEFT(TO_TEXT(A39),4)),VALUE(MID(TO_TEXT(A39),5,2)),VALUE(RIGHT(TO_TEXT(A39),2))),F39),""yyyymmdd""))"),"20261016")</f>
        <v>20261016</v>
      </c>
      <c r="H39" s="25">
        <f t="shared" si="1"/>
        <v>0.0438247012</v>
      </c>
      <c r="I39" s="14">
        <v>25100.0</v>
      </c>
      <c r="J39" s="26"/>
      <c r="K39" s="27"/>
    </row>
    <row r="40">
      <c r="A40" s="7" t="s">
        <v>123</v>
      </c>
      <c r="B40" s="8" t="s">
        <v>28</v>
      </c>
      <c r="C40" s="8" t="s">
        <v>108</v>
      </c>
      <c r="D40" s="9">
        <v>14370.0</v>
      </c>
      <c r="E40" s="10">
        <v>15000.0</v>
      </c>
      <c r="F40" s="10">
        <v>12.0</v>
      </c>
      <c r="G40" s="11" t="str">
        <f>IFERROR(__xludf.DUMMYFUNCTION("IF(OR(A40="""",F40=""""),"""",TEXT(WORKDAY(DATE(VALUE(LEFT(TO_TEXT(A40),4)),VALUE(MID(TO_TEXT(A40),5,2)),VALUE(RIGHT(TO_TEXT(A40),2))),F40),""yyyymmdd""))"),"20261019")</f>
        <v>20261019</v>
      </c>
      <c r="H40" s="25">
        <f t="shared" si="1"/>
        <v>0.04384133612</v>
      </c>
      <c r="I40" s="14">
        <v>14370.0</v>
      </c>
      <c r="J40" s="26"/>
      <c r="K40" s="27"/>
    </row>
    <row r="41">
      <c r="A41" s="7" t="s">
        <v>124</v>
      </c>
      <c r="B41" s="8" t="s">
        <v>28</v>
      </c>
      <c r="C41" s="8" t="s">
        <v>111</v>
      </c>
      <c r="D41" s="9">
        <v>29850.0</v>
      </c>
      <c r="E41" s="10">
        <v>32800.0</v>
      </c>
      <c r="F41" s="10">
        <v>29.0</v>
      </c>
      <c r="G41" s="11" t="str">
        <f>IFERROR(__xludf.DUMMYFUNCTION("IF(OR(A41="""",F41=""""),"""",TEXT(WORKDAY(DATE(VALUE(LEFT(TO_TEXT(A41),4)),VALUE(MID(TO_TEXT(A41),5,2)),VALUE(RIGHT(TO_TEXT(A41),2))),F41),""yyyymmdd""))"),"20261112")</f>
        <v>20261112</v>
      </c>
      <c r="H41" s="25">
        <f t="shared" si="1"/>
        <v>0.09882747069</v>
      </c>
      <c r="I41" s="14">
        <v>29850.0</v>
      </c>
      <c r="J41" s="26"/>
      <c r="K41" s="27"/>
    </row>
    <row r="42">
      <c r="A42" s="7" t="s">
        <v>124</v>
      </c>
      <c r="B42" s="8" t="s">
        <v>28</v>
      </c>
      <c r="C42" s="8" t="s">
        <v>111</v>
      </c>
      <c r="D42" s="9">
        <v>29800.0</v>
      </c>
      <c r="E42" s="10">
        <v>32800.0</v>
      </c>
      <c r="F42" s="10">
        <v>29.0</v>
      </c>
      <c r="G42" s="11" t="str">
        <f>IFERROR(__xludf.DUMMYFUNCTION("IF(OR(A42="""",F42=""""),"""",TEXT(WORKDAY(DATE(VALUE(LEFT(TO_TEXT(A42),4)),VALUE(MID(TO_TEXT(A42),5,2)),VALUE(RIGHT(TO_TEXT(A42),2))),F42),""yyyymmdd""))"),"20261112")</f>
        <v>20261112</v>
      </c>
      <c r="H42" s="25">
        <f t="shared" si="1"/>
        <v>0.1006711409</v>
      </c>
      <c r="I42" s="14">
        <v>29800.0</v>
      </c>
      <c r="J42" s="26"/>
      <c r="K42" s="27"/>
    </row>
    <row r="43">
      <c r="A43" s="7" t="s">
        <v>124</v>
      </c>
      <c r="B43" s="8" t="s">
        <v>28</v>
      </c>
      <c r="C43" s="8" t="s">
        <v>113</v>
      </c>
      <c r="D43" s="9">
        <v>37800.0</v>
      </c>
      <c r="E43" s="10">
        <v>40790.0</v>
      </c>
      <c r="F43" s="10">
        <v>19.0</v>
      </c>
      <c r="G43" s="11" t="str">
        <f>IFERROR(__xludf.DUMMYFUNCTION("IF(OR(A43="""",F43=""""),"""",TEXT(WORKDAY(DATE(VALUE(LEFT(TO_TEXT(A43),4)),VALUE(MID(TO_TEXT(A43),5,2)),VALUE(RIGHT(TO_TEXT(A43),2))),F43),""yyyymmdd""))"),"20261029")</f>
        <v>20261029</v>
      </c>
      <c r="H43" s="25">
        <f t="shared" si="1"/>
        <v>0.0791005291</v>
      </c>
      <c r="I43" s="14">
        <v>37800.0</v>
      </c>
      <c r="J43" s="26"/>
      <c r="K43" s="27"/>
    </row>
    <row r="44">
      <c r="A44" s="7" t="s">
        <v>125</v>
      </c>
      <c r="B44" s="8" t="s">
        <v>28</v>
      </c>
      <c r="C44" s="8" t="s">
        <v>90</v>
      </c>
      <c r="D44" s="9">
        <v>35000.0</v>
      </c>
      <c r="E44" s="10">
        <v>37000.0</v>
      </c>
      <c r="F44" s="10">
        <v>7.0</v>
      </c>
      <c r="G44" s="11" t="str">
        <f>IFERROR(__xludf.DUMMYFUNCTION("IF(OR(A44="""",F44=""""),"""",TEXT(WORKDAY(DATE(VALUE(LEFT(TO_TEXT(A44),4)),VALUE(MID(TO_TEXT(A44),5,2)),VALUE(RIGHT(TO_TEXT(A44),2))),F44),""yyyymmdd""))"),"20261015")</f>
        <v>20261015</v>
      </c>
      <c r="H44" s="25">
        <f t="shared" si="1"/>
        <v>0.05714285714</v>
      </c>
      <c r="I44" s="14">
        <v>35000.0</v>
      </c>
      <c r="J44" s="26"/>
      <c r="K44" s="27"/>
    </row>
    <row r="45">
      <c r="A45" s="7" t="s">
        <v>125</v>
      </c>
      <c r="B45" s="8" t="s">
        <v>28</v>
      </c>
      <c r="C45" s="8" t="s">
        <v>20</v>
      </c>
      <c r="D45" s="9">
        <v>23500.0</v>
      </c>
      <c r="E45" s="10">
        <v>25000.0</v>
      </c>
      <c r="F45" s="10">
        <v>10.0</v>
      </c>
      <c r="G45" s="11" t="str">
        <f>IFERROR(__xludf.DUMMYFUNCTION("IF(OR(A45="""",F45=""""),"""",TEXT(WORKDAY(DATE(VALUE(LEFT(TO_TEXT(A45),4)),VALUE(MID(TO_TEXT(A45),5,2)),VALUE(RIGHT(TO_TEXT(A45),2))),F45),""yyyymmdd""))"),"20261020")</f>
        <v>20261020</v>
      </c>
      <c r="H45" s="25">
        <f t="shared" si="1"/>
        <v>0.06382978723</v>
      </c>
      <c r="I45" s="14">
        <v>23500.0</v>
      </c>
      <c r="J45" s="26"/>
      <c r="K45" s="27"/>
    </row>
    <row r="46">
      <c r="A46" s="7" t="s">
        <v>125</v>
      </c>
      <c r="B46" s="8" t="s">
        <v>28</v>
      </c>
      <c r="C46" s="8" t="s">
        <v>92</v>
      </c>
      <c r="D46" s="9">
        <v>10460.0</v>
      </c>
      <c r="E46" s="10">
        <v>11600.0</v>
      </c>
      <c r="F46" s="10">
        <v>8.0</v>
      </c>
      <c r="G46" s="11" t="str">
        <f>IFERROR(__xludf.DUMMYFUNCTION("IF(OR(A46="""",F46=""""),"""",TEXT(WORKDAY(DATE(VALUE(LEFT(TO_TEXT(A46),4)),VALUE(MID(TO_TEXT(A46),5,2)),VALUE(RIGHT(TO_TEXT(A46),2))),F46),""yyyymmdd""))"),"20261016")</f>
        <v>20261016</v>
      </c>
      <c r="H46" s="12">
        <f t="shared" si="1"/>
        <v>0.1089866157</v>
      </c>
      <c r="I46" s="14">
        <v>10460.0</v>
      </c>
      <c r="J46" s="14">
        <v>10810.0</v>
      </c>
      <c r="K46" s="16">
        <v>2.0261007E7</v>
      </c>
    </row>
    <row r="47">
      <c r="A47" s="7" t="s">
        <v>125</v>
      </c>
      <c r="B47" s="28" t="s">
        <v>28</v>
      </c>
      <c r="C47" s="8" t="s">
        <v>81</v>
      </c>
      <c r="D47" s="9">
        <v>37000.0</v>
      </c>
      <c r="E47" s="10">
        <v>39000.0</v>
      </c>
      <c r="F47" s="10">
        <v>6.0</v>
      </c>
      <c r="G47" s="11" t="str">
        <f>IFERROR(__xludf.DUMMYFUNCTION("IF(OR(A47="""",F47=""""),"""",TEXT(WORKDAY(DATE(VALUE(LEFT(TO_TEXT(A47),4)),VALUE(MID(TO_TEXT(A47),5,2)),VALUE(RIGHT(TO_TEXT(A47),2))),F47),""yyyymmdd""))"),"20261014")</f>
        <v>20261014</v>
      </c>
      <c r="H47" s="25">
        <f t="shared" si="1"/>
        <v>0.05405405405</v>
      </c>
      <c r="I47" s="14">
        <v>37000.0</v>
      </c>
      <c r="J47" s="26"/>
      <c r="K47" s="27"/>
    </row>
    <row r="48">
      <c r="A48" s="7" t="s">
        <v>125</v>
      </c>
      <c r="B48" s="28" t="s">
        <v>28</v>
      </c>
      <c r="C48" s="8" t="s">
        <v>87</v>
      </c>
      <c r="D48" s="9">
        <v>60900.0</v>
      </c>
      <c r="E48" s="10">
        <v>62000.0</v>
      </c>
      <c r="F48" s="10">
        <v>6.0</v>
      </c>
      <c r="G48" s="11" t="str">
        <f>IFERROR(__xludf.DUMMYFUNCTION("IF(OR(A48="""",F48=""""),"""",TEXT(WORKDAY(DATE(VALUE(LEFT(TO_TEXT(A48),4)),VALUE(MID(TO_TEXT(A48),5,2)),VALUE(RIGHT(TO_TEXT(A48),2))),F48),""yyyymmdd""))"),"20261014")</f>
        <v>20261014</v>
      </c>
      <c r="H48" s="12">
        <f t="shared" si="1"/>
        <v>0.01806239737</v>
      </c>
      <c r="I48" s="14">
        <v>60900.0</v>
      </c>
      <c r="J48" s="14">
        <v>63000.0</v>
      </c>
      <c r="K48" s="16">
        <v>2.0261006E7</v>
      </c>
      <c r="L48" s="1" t="s">
        <v>126</v>
      </c>
    </row>
    <row r="49">
      <c r="A49" s="7" t="s">
        <v>125</v>
      </c>
      <c r="B49" s="28" t="s">
        <v>28</v>
      </c>
      <c r="C49" s="8" t="s">
        <v>88</v>
      </c>
      <c r="D49" s="9">
        <v>30850.0</v>
      </c>
      <c r="E49" s="10">
        <v>32000.0</v>
      </c>
      <c r="F49" s="10">
        <v>25.0</v>
      </c>
      <c r="G49" s="11" t="str">
        <f>IFERROR(__xludf.DUMMYFUNCTION("IF(OR(A49="""",F49=""""),"""",TEXT(WORKDAY(DATE(VALUE(LEFT(TO_TEXT(A49),4)),VALUE(MID(TO_TEXT(A49),5,2)),VALUE(RIGHT(TO_TEXT(A49),2))),F49),""yyyymmdd""))"),"20261110")</f>
        <v>20261110</v>
      </c>
      <c r="H49" s="25">
        <f t="shared" si="1"/>
        <v>0.03727714749</v>
      </c>
      <c r="I49" s="14">
        <v>30850.0</v>
      </c>
      <c r="J49" s="26"/>
      <c r="K49" s="27"/>
    </row>
    <row r="50">
      <c r="A50" s="7" t="s">
        <v>125</v>
      </c>
      <c r="B50" s="17" t="s">
        <v>28</v>
      </c>
      <c r="C50" s="8" t="s">
        <v>101</v>
      </c>
      <c r="D50" s="9">
        <v>11980.0</v>
      </c>
      <c r="E50" s="10">
        <v>13000.0</v>
      </c>
      <c r="F50" s="10">
        <v>27.0</v>
      </c>
      <c r="G50" s="11" t="str">
        <f>IFERROR(__xludf.DUMMYFUNCTION("IF(OR(A50="""",F50=""""),"""",TEXT(WORKDAY(DATE(VALUE(LEFT(TO_TEXT(A50),4)),VALUE(MID(TO_TEXT(A50),5,2)),VALUE(RIGHT(TO_TEXT(A50),2))),F50),""yyyymmdd""))"),"20261112")</f>
        <v>20261112</v>
      </c>
      <c r="H50" s="25">
        <f t="shared" si="1"/>
        <v>0.08514190317</v>
      </c>
      <c r="I50" s="14">
        <v>11980.0</v>
      </c>
      <c r="J50" s="29">
        <v>13000.0</v>
      </c>
      <c r="K50" s="30">
        <v>2.0261012E7</v>
      </c>
    </row>
    <row r="51">
      <c r="A51" s="7" t="s">
        <v>127</v>
      </c>
      <c r="B51" s="17" t="s">
        <v>28</v>
      </c>
      <c r="C51" s="8" t="s">
        <v>101</v>
      </c>
      <c r="D51" s="9">
        <v>11470.0</v>
      </c>
      <c r="E51" s="10">
        <v>13000.0</v>
      </c>
      <c r="F51" s="10">
        <v>27.0</v>
      </c>
      <c r="G51" s="11" t="str">
        <f>IFERROR(__xludf.DUMMYFUNCTION("IF(OR(A51="""",F51=""""),"""",TEXT(WORKDAY(DATE(VALUE(LEFT(TO_TEXT(A51),4)),VALUE(MID(TO_TEXT(A51),5,2)),VALUE(RIGHT(TO_TEXT(A51),2))),F51),""yyyymmdd""))"),"20261113")</f>
        <v>20261113</v>
      </c>
      <c r="H51" s="25">
        <f t="shared" si="1"/>
        <v>0.133391456</v>
      </c>
      <c r="I51" s="14">
        <v>11470.0</v>
      </c>
      <c r="J51" s="29">
        <v>13000.0</v>
      </c>
      <c r="K51" s="30">
        <v>2.0261012E7</v>
      </c>
    </row>
    <row r="52">
      <c r="A52" s="7" t="s">
        <v>127</v>
      </c>
      <c r="B52" s="17" t="s">
        <v>28</v>
      </c>
      <c r="C52" s="8" t="s">
        <v>111</v>
      </c>
      <c r="D52" s="9">
        <v>28450.0</v>
      </c>
      <c r="E52" s="10">
        <v>32800.0</v>
      </c>
      <c r="F52" s="10">
        <v>29.0</v>
      </c>
      <c r="G52" s="11" t="str">
        <f>IFERROR(__xludf.DUMMYFUNCTION("IF(OR(A52="""",F52=""""),"""",TEXT(WORKDAY(DATE(VALUE(LEFT(TO_TEXT(A52),4)),VALUE(MID(TO_TEXT(A52),5,2)),VALUE(RIGHT(TO_TEXT(A52),2))),F52),""yyyymmdd""))"),"20261117")</f>
        <v>20261117</v>
      </c>
      <c r="H52" s="25">
        <f t="shared" si="1"/>
        <v>0.1528998243</v>
      </c>
      <c r="I52" s="14">
        <v>28450.0</v>
      </c>
      <c r="J52" s="26"/>
      <c r="K52" s="27"/>
    </row>
    <row r="53">
      <c r="A53" s="7" t="s">
        <v>127</v>
      </c>
      <c r="B53" s="17" t="s">
        <v>28</v>
      </c>
      <c r="C53" s="8" t="s">
        <v>115</v>
      </c>
      <c r="D53" s="9">
        <v>13760.0</v>
      </c>
      <c r="E53" s="10">
        <v>14600.0</v>
      </c>
      <c r="F53" s="10">
        <v>20.0</v>
      </c>
      <c r="G53" s="11" t="str">
        <f>IFERROR(__xludf.DUMMYFUNCTION("IF(OR(A53="""",F53=""""),"""",TEXT(WORKDAY(DATE(VALUE(LEFT(TO_TEXT(A53),4)),VALUE(MID(TO_TEXT(A53),5,2)),VALUE(RIGHT(TO_TEXT(A53),2))),F53),""yyyymmdd""))"),"20261104")</f>
        <v>20261104</v>
      </c>
      <c r="H53" s="25">
        <f t="shared" si="1"/>
        <v>0.06104651163</v>
      </c>
      <c r="I53" s="14">
        <v>13760.0</v>
      </c>
      <c r="J53" s="26"/>
      <c r="K53" s="27"/>
    </row>
    <row r="54">
      <c r="A54" s="7" t="s">
        <v>128</v>
      </c>
      <c r="B54" s="28" t="s">
        <v>28</v>
      </c>
      <c r="C54" s="17" t="s">
        <v>129</v>
      </c>
      <c r="D54" s="18">
        <v>12320.0</v>
      </c>
      <c r="E54" s="17">
        <v>13250.0</v>
      </c>
      <c r="F54" s="17">
        <v>20.0</v>
      </c>
      <c r="G54" s="11" t="str">
        <f>IFERROR(__xludf.DUMMYFUNCTION("IF(OR(A54="""",F54=""""),"""",TEXT(WORKDAY(DATE(VALUE(LEFT(TO_TEXT(A54),4)),VALUE(MID(TO_TEXT(A54),5,2)),VALUE(RIGHT(TO_TEXT(A54),2))),F54),""yyyymmdd""))"),"20261105")</f>
        <v>20261105</v>
      </c>
      <c r="H54" s="25">
        <f t="shared" si="1"/>
        <v>0.07548701299</v>
      </c>
      <c r="I54" s="31">
        <v>12320.0</v>
      </c>
      <c r="J54" s="32"/>
      <c r="K54" s="32"/>
    </row>
    <row r="55">
      <c r="A55" s="7" t="s">
        <v>128</v>
      </c>
      <c r="B55" s="8"/>
      <c r="C55" s="1" t="s">
        <v>130</v>
      </c>
      <c r="D55" s="1">
        <v>26250.0</v>
      </c>
      <c r="E55" s="1">
        <v>27400.0</v>
      </c>
      <c r="F55" s="1">
        <v>17.0</v>
      </c>
      <c r="G55" s="33" t="str">
        <f>IFERROR(__xludf.DUMMYFUNCTION("IF(OR(A55="""",F55=""""),"""",TEXT(WORKDAY(DATE(VALUE(LEFT(TO_TEXT(A55),4)),VALUE(MID(TO_TEXT(A55),5,2)),VALUE(RIGHT(TO_TEXT(A55),2))),F55),""yyyymmdd""))"),"20261102")</f>
        <v>20261102</v>
      </c>
      <c r="H55" s="34">
        <f t="shared" si="1"/>
        <v>0.04380952381</v>
      </c>
      <c r="I55" s="35"/>
      <c r="J55" s="35"/>
      <c r="K55" s="35"/>
    </row>
    <row r="56">
      <c r="A56" s="7" t="s">
        <v>128</v>
      </c>
      <c r="B56" s="8"/>
      <c r="C56" s="1" t="s">
        <v>131</v>
      </c>
      <c r="D56" s="1">
        <v>28350.0</v>
      </c>
      <c r="E56" s="1">
        <v>31265.0</v>
      </c>
      <c r="F56" s="1">
        <v>18.0</v>
      </c>
      <c r="G56" s="33" t="str">
        <f>IFERROR(__xludf.DUMMYFUNCTION("IF(OR(A56="""",F56=""""),"""",TEXT(WORKDAY(DATE(VALUE(LEFT(TO_TEXT(A56),4)),VALUE(MID(TO_TEXT(A56),5,2)),VALUE(RIGHT(TO_TEXT(A56),2))),F56),""yyyymmdd""))"),"20261103")</f>
        <v>20261103</v>
      </c>
      <c r="H56" s="34">
        <f t="shared" si="1"/>
        <v>0.1028218695</v>
      </c>
      <c r="I56" s="35"/>
      <c r="J56" s="35"/>
      <c r="K56" s="35"/>
    </row>
    <row r="57">
      <c r="A57" s="3" t="s">
        <v>128</v>
      </c>
      <c r="B57" s="8"/>
      <c r="C57" s="1" t="s">
        <v>132</v>
      </c>
      <c r="D57" s="1">
        <v>29350.0</v>
      </c>
      <c r="E57" s="1">
        <v>35800.0</v>
      </c>
      <c r="F57" s="1">
        <v>60.0</v>
      </c>
      <c r="G57" s="33" t="str">
        <f>IFERROR(__xludf.DUMMYFUNCTION("IF(OR(A57="""",F57=""""),"""",TEXT(WORKDAY(DATE(VALUE(LEFT(TO_TEXT(A57),4)),VALUE(MID(TO_TEXT(A57),5,2)),VALUE(RIGHT(TO_TEXT(A57),2))),F57),""yyyymmdd""))"),"20261231")</f>
        <v>20261231</v>
      </c>
      <c r="H57" s="34">
        <f t="shared" si="1"/>
        <v>0.2197614991</v>
      </c>
      <c r="I57" s="35"/>
      <c r="J57" s="35"/>
      <c r="K57" s="35"/>
    </row>
    <row r="58">
      <c r="A58" s="3" t="s">
        <v>128</v>
      </c>
      <c r="B58" s="17" t="s">
        <v>133</v>
      </c>
      <c r="C58" s="1" t="s">
        <v>18</v>
      </c>
      <c r="D58" s="1">
        <v>21600.0</v>
      </c>
      <c r="E58" s="1">
        <v>24850.0</v>
      </c>
      <c r="F58" s="1">
        <v>57.0</v>
      </c>
      <c r="G58" s="33" t="str">
        <f>IFERROR(__xludf.DUMMYFUNCTION("IF(OR(A58="""",F58=""""),"""",TEXT(WORKDAY(DATE(VALUE(LEFT(TO_TEXT(A58),4)),VALUE(MID(TO_TEXT(A58),5,2)),VALUE(RIGHT(TO_TEXT(A58),2))),F58),""yyyymmdd""))"),"20261228")</f>
        <v>20261228</v>
      </c>
      <c r="H58" s="34">
        <f t="shared" si="1"/>
        <v>0.150462963</v>
      </c>
      <c r="I58" s="35"/>
      <c r="J58" s="35"/>
      <c r="K58" s="35"/>
    </row>
    <row r="59">
      <c r="A59" s="3" t="s">
        <v>128</v>
      </c>
      <c r="B59" s="8"/>
      <c r="C59" s="1" t="s">
        <v>134</v>
      </c>
      <c r="D59" s="1">
        <v>4760.0</v>
      </c>
      <c r="E59" s="1">
        <v>4900.0</v>
      </c>
      <c r="F59" s="1">
        <v>10.0</v>
      </c>
      <c r="G59" s="33" t="str">
        <f>IFERROR(__xludf.DUMMYFUNCTION("IF(OR(A59="""",F59=""""),"""",TEXT(WORKDAY(DATE(VALUE(LEFT(TO_TEXT(A59),4)),VALUE(MID(TO_TEXT(A59),5,2)),VALUE(RIGHT(TO_TEXT(A59),2))),F59),""yyyymmdd""))"),"20261022")</f>
        <v>20261022</v>
      </c>
      <c r="H59" s="34">
        <f t="shared" si="1"/>
        <v>0.02941176471</v>
      </c>
      <c r="I59" s="35"/>
      <c r="J59" s="35"/>
      <c r="K59" s="35"/>
    </row>
    <row r="60">
      <c r="A60" s="3" t="s">
        <v>128</v>
      </c>
      <c r="B60" s="1" t="s">
        <v>133</v>
      </c>
      <c r="C60" s="1" t="s">
        <v>48</v>
      </c>
      <c r="D60" s="1">
        <v>60900.0</v>
      </c>
      <c r="E60" s="1">
        <v>68300.0</v>
      </c>
      <c r="F60" s="1">
        <v>60.0</v>
      </c>
      <c r="G60" s="33" t="str">
        <f>IFERROR(__xludf.DUMMYFUNCTION("IF(OR(A60="""",F60=""""),"""",TEXT(WORKDAY(DATE(VALUE(LEFT(TO_TEXT(A60),4)),VALUE(MID(TO_TEXT(A60),5,2)),VALUE(RIGHT(TO_TEXT(A60),2))),F60),""yyyymmdd""))"),"20261231")</f>
        <v>20261231</v>
      </c>
      <c r="H60" s="34">
        <f t="shared" si="1"/>
        <v>0.1215106732</v>
      </c>
      <c r="I60" s="35"/>
      <c r="J60" s="35"/>
      <c r="K60" s="35"/>
    </row>
    <row r="61">
      <c r="A61" s="3" t="s">
        <v>128</v>
      </c>
      <c r="B61" s="1" t="s">
        <v>133</v>
      </c>
      <c r="C61" s="1" t="s">
        <v>135</v>
      </c>
      <c r="D61" s="1">
        <v>20850.0</v>
      </c>
      <c r="E61" s="1">
        <v>22000.0</v>
      </c>
      <c r="F61" s="1">
        <v>5.0</v>
      </c>
      <c r="G61" s="33" t="str">
        <f>IFERROR(__xludf.DUMMYFUNCTION("IF(OR(A61="""",F61=""""),"""",TEXT(WORKDAY(DATE(VALUE(LEFT(TO_TEXT(A61),4)),VALUE(MID(TO_TEXT(A61),5,2)),VALUE(RIGHT(TO_TEXT(A61),2))),F61),""yyyymmdd""))"),"20261015")</f>
        <v>20261015</v>
      </c>
      <c r="H61" s="34">
        <f t="shared" si="1"/>
        <v>0.0551558753</v>
      </c>
      <c r="I61" s="35"/>
      <c r="J61" s="35"/>
      <c r="K61" s="35"/>
    </row>
    <row r="62">
      <c r="A62" s="3" t="s">
        <v>128</v>
      </c>
      <c r="C62" s="1" t="s">
        <v>136</v>
      </c>
      <c r="D62" s="1">
        <v>78000.0</v>
      </c>
      <c r="E62" s="1">
        <v>80850.0</v>
      </c>
      <c r="F62" s="1">
        <v>30.0</v>
      </c>
      <c r="G62" s="33" t="str">
        <f>IFERROR(__xludf.DUMMYFUNCTION("IF(OR(A62="""",F62=""""),"""",TEXT(WORKDAY(DATE(VALUE(LEFT(TO_TEXT(A62),4)),VALUE(MID(TO_TEXT(A62),5,2)),VALUE(RIGHT(TO_TEXT(A62),2))),F62),""yyyymmdd""))"),"20261119")</f>
        <v>20261119</v>
      </c>
      <c r="H62" s="34">
        <f t="shared" si="1"/>
        <v>0.03653846154</v>
      </c>
      <c r="I62" s="35"/>
      <c r="J62" s="35"/>
      <c r="K62" s="35"/>
    </row>
    <row r="63">
      <c r="A63" s="3" t="s">
        <v>128</v>
      </c>
      <c r="C63" s="1" t="s">
        <v>137</v>
      </c>
      <c r="D63" s="1">
        <v>9310.0</v>
      </c>
      <c r="E63" s="1">
        <v>10050.0</v>
      </c>
      <c r="F63" s="1">
        <v>10.0</v>
      </c>
      <c r="G63" s="33" t="str">
        <f>IFERROR(__xludf.DUMMYFUNCTION("IF(OR(A63="""",F63=""""),"""",TEXT(WORKDAY(DATE(VALUE(LEFT(TO_TEXT(A63),4)),VALUE(MID(TO_TEXT(A63),5,2)),VALUE(RIGHT(TO_TEXT(A63),2))),F63),""yyyymmdd""))"),"20261022")</f>
        <v>20261022</v>
      </c>
      <c r="H63" s="34">
        <f t="shared" si="1"/>
        <v>0.07948442535</v>
      </c>
      <c r="I63" s="35"/>
      <c r="J63" s="35"/>
      <c r="K63" s="35"/>
    </row>
    <row r="64">
      <c r="A64" s="3" t="s">
        <v>128</v>
      </c>
      <c r="B64" s="1" t="s">
        <v>133</v>
      </c>
      <c r="C64" s="1" t="s">
        <v>138</v>
      </c>
      <c r="D64" s="1">
        <v>53300.0</v>
      </c>
      <c r="E64" s="1">
        <v>59600.0</v>
      </c>
      <c r="F64" s="1">
        <v>8.0</v>
      </c>
      <c r="G64" s="33" t="str">
        <f>IFERROR(__xludf.DUMMYFUNCTION("IF(OR(A64="""",F64=""""),"""",TEXT(WORKDAY(DATE(VALUE(LEFT(TO_TEXT(A64),4)),VALUE(MID(TO_TEXT(A64),5,2)),VALUE(RIGHT(TO_TEXT(A64),2))),F64),""yyyymmdd""))"),"20261020")</f>
        <v>20261020</v>
      </c>
      <c r="H64" s="34">
        <f t="shared" si="1"/>
        <v>0.1181988743</v>
      </c>
      <c r="I64" s="35"/>
      <c r="J64" s="35"/>
      <c r="K64" s="35"/>
    </row>
    <row r="65">
      <c r="A65" s="33"/>
      <c r="G65" s="33" t="str">
        <f>IFERROR(__xludf.DUMMYFUNCTION("IF(OR(A65="""",F65=""""),"""",TEXT(WORKDAY(DATE(VALUE(LEFT(TO_TEXT(A65),4)),VALUE(MID(TO_TEXT(A65),5,2)),VALUE(RIGHT(TO_TEXT(A65),2))),F65),""yyyymmdd""))"),"")</f>
        <v/>
      </c>
      <c r="H65" s="34" t="str">
        <f t="shared" si="1"/>
        <v/>
      </c>
      <c r="I65" s="35"/>
      <c r="J65" s="35"/>
      <c r="K65" s="35"/>
    </row>
    <row r="66">
      <c r="A66" s="33"/>
      <c r="G66" s="33" t="str">
        <f>IFERROR(__xludf.DUMMYFUNCTION("IF(OR(A66="""",F66=""""),"""",TEXT(WORKDAY(DATE(VALUE(LEFT(TO_TEXT(A66),4)),VALUE(MID(TO_TEXT(A66),5,2)),VALUE(RIGHT(TO_TEXT(A66),2))),F66),""yyyymmdd""))"),"")</f>
        <v/>
      </c>
      <c r="H66" s="34" t="str">
        <f t="shared" si="1"/>
        <v/>
      </c>
      <c r="I66" s="35"/>
      <c r="J66" s="35"/>
      <c r="K66" s="35"/>
    </row>
    <row r="67">
      <c r="A67" s="33"/>
      <c r="G67" s="33" t="str">
        <f>IFERROR(__xludf.DUMMYFUNCTION("IF(OR(A67="""",F67=""""),"""",TEXT(WORKDAY(DATE(VALUE(LEFT(TO_TEXT(A67),4)),VALUE(MID(TO_TEXT(A67),5,2)),VALUE(RIGHT(TO_TEXT(A67),2))),F67),""yyyymmdd""))"),"")</f>
        <v/>
      </c>
      <c r="H67" s="34" t="str">
        <f t="shared" si="1"/>
        <v/>
      </c>
      <c r="I67" s="35"/>
      <c r="J67" s="35"/>
      <c r="K67" s="35"/>
    </row>
    <row r="68">
      <c r="A68" s="33"/>
      <c r="G68" s="33" t="str">
        <f>IFERROR(__xludf.DUMMYFUNCTION("IF(OR(A68="""",F68=""""),"""",TEXT(WORKDAY(DATE(VALUE(LEFT(TO_TEXT(A68),4)),VALUE(MID(TO_TEXT(A68),5,2)),VALUE(RIGHT(TO_TEXT(A68),2))),F68),""yyyymmdd""))"),"")</f>
        <v/>
      </c>
      <c r="H68" s="34" t="str">
        <f t="shared" si="1"/>
        <v/>
      </c>
      <c r="I68" s="35"/>
      <c r="J68" s="35"/>
      <c r="K68" s="35"/>
    </row>
    <row r="69">
      <c r="A69" s="33"/>
      <c r="G69" s="33" t="str">
        <f>IFERROR(__xludf.DUMMYFUNCTION("IF(OR(A69="""",F69=""""),"""",TEXT(WORKDAY(DATE(VALUE(LEFT(TO_TEXT(A69),4)),VALUE(MID(TO_TEXT(A69),5,2)),VALUE(RIGHT(TO_TEXT(A69),2))),F69),""yyyymmdd""))"),"")</f>
        <v/>
      </c>
      <c r="H69" s="34" t="str">
        <f t="shared" si="1"/>
        <v/>
      </c>
      <c r="I69" s="35"/>
      <c r="J69" s="35"/>
      <c r="K69" s="35"/>
    </row>
    <row r="70">
      <c r="A70" s="33"/>
      <c r="G70" s="33" t="str">
        <f>IFERROR(__xludf.DUMMYFUNCTION("IF(OR(A70="""",F70=""""),"""",TEXT(WORKDAY(DATE(VALUE(LEFT(TO_TEXT(A70),4)),VALUE(MID(TO_TEXT(A70),5,2)),VALUE(RIGHT(TO_TEXT(A70),2))),F70),""yyyymmdd""))"),"")</f>
        <v/>
      </c>
      <c r="H70" s="34" t="str">
        <f t="shared" si="1"/>
        <v/>
      </c>
      <c r="I70" s="35"/>
      <c r="J70" s="35"/>
      <c r="K70" s="35"/>
    </row>
    <row r="71">
      <c r="A71" s="33"/>
      <c r="G71" s="33" t="str">
        <f>IFERROR(__xludf.DUMMYFUNCTION("IF(OR(A71="""",F71=""""),"""",TEXT(WORKDAY(DATE(VALUE(LEFT(TO_TEXT(A71),4)),VALUE(MID(TO_TEXT(A71),5,2)),VALUE(RIGHT(TO_TEXT(A71),2))),F71),""yyyymmdd""))"),"")</f>
        <v/>
      </c>
      <c r="H71" s="34" t="str">
        <f t="shared" si="1"/>
        <v/>
      </c>
      <c r="I71" s="35"/>
      <c r="J71" s="35"/>
      <c r="K71" s="35"/>
    </row>
    <row r="72">
      <c r="A72" s="33"/>
      <c r="G72" s="33" t="str">
        <f>IFERROR(__xludf.DUMMYFUNCTION("IF(OR(A72="""",F72=""""),"""",TEXT(WORKDAY(DATE(VALUE(LEFT(TO_TEXT(A72),4)),VALUE(MID(TO_TEXT(A72),5,2)),VALUE(RIGHT(TO_TEXT(A72),2))),F72),""yyyymmdd""))"),"")</f>
        <v/>
      </c>
      <c r="H72" s="34" t="str">
        <f t="shared" si="1"/>
        <v/>
      </c>
      <c r="I72" s="35"/>
      <c r="J72" s="35"/>
      <c r="K72" s="35"/>
    </row>
    <row r="73">
      <c r="A73" s="33"/>
      <c r="G73" s="33" t="str">
        <f>IFERROR(__xludf.DUMMYFUNCTION("IF(OR(A73="""",F73=""""),"""",TEXT(WORKDAY(DATE(VALUE(LEFT(TO_TEXT(A73),4)),VALUE(MID(TO_TEXT(A73),5,2)),VALUE(RIGHT(TO_TEXT(A73),2))),F73),""yyyymmdd""))"),"")</f>
        <v/>
      </c>
      <c r="H73" s="34" t="str">
        <f t="shared" si="1"/>
        <v/>
      </c>
      <c r="I73" s="35"/>
      <c r="J73" s="35"/>
      <c r="K73" s="35"/>
    </row>
    <row r="74">
      <c r="A74" s="33"/>
      <c r="G74" s="33" t="str">
        <f>IFERROR(__xludf.DUMMYFUNCTION("IF(OR(A74="""",F74=""""),"""",TEXT(WORKDAY(DATE(VALUE(LEFT(TO_TEXT(A74),4)),VALUE(MID(TO_TEXT(A74),5,2)),VALUE(RIGHT(TO_TEXT(A74),2))),F74),""yyyymmdd""))"),"")</f>
        <v/>
      </c>
      <c r="H74" s="34" t="str">
        <f t="shared" si="1"/>
        <v/>
      </c>
      <c r="I74" s="35"/>
      <c r="J74" s="35"/>
      <c r="K74" s="35"/>
    </row>
    <row r="75">
      <c r="A75" s="33"/>
      <c r="G75" s="33" t="str">
        <f>IFERROR(__xludf.DUMMYFUNCTION("IF(OR(A75="""",F75=""""),"""",TEXT(WORKDAY(DATE(VALUE(LEFT(TO_TEXT(A75),4)),VALUE(MID(TO_TEXT(A75),5,2)),VALUE(RIGHT(TO_TEXT(A75),2))),F75),""yyyymmdd""))"),"")</f>
        <v/>
      </c>
      <c r="H75" s="34" t="str">
        <f t="shared" si="1"/>
        <v/>
      </c>
      <c r="I75" s="35"/>
      <c r="J75" s="35"/>
      <c r="K75" s="35"/>
    </row>
    <row r="76">
      <c r="A76" s="33"/>
      <c r="G76" s="33" t="str">
        <f>IFERROR(__xludf.DUMMYFUNCTION("IF(OR(A76="""",F76=""""),"""",TEXT(WORKDAY(DATE(VALUE(LEFT(TO_TEXT(A76),4)),VALUE(MID(TO_TEXT(A76),5,2)),VALUE(RIGHT(TO_TEXT(A76),2))),F76),""yyyymmdd""))"),"")</f>
        <v/>
      </c>
      <c r="H76" s="34" t="str">
        <f t="shared" si="1"/>
        <v/>
      </c>
      <c r="I76" s="35"/>
      <c r="J76" s="35"/>
      <c r="K76" s="35"/>
    </row>
    <row r="77">
      <c r="A77" s="33"/>
      <c r="G77" s="33" t="str">
        <f>IFERROR(__xludf.DUMMYFUNCTION("IF(OR(A77="""",F77=""""),"""",TEXT(WORKDAY(DATE(VALUE(LEFT(TO_TEXT(A77),4)),VALUE(MID(TO_TEXT(A77),5,2)),VALUE(RIGHT(TO_TEXT(A77),2))),F77),""yyyymmdd""))"),"")</f>
        <v/>
      </c>
      <c r="H77" s="34" t="str">
        <f t="shared" si="1"/>
        <v/>
      </c>
      <c r="I77" s="35"/>
      <c r="J77" s="35"/>
      <c r="K77" s="35"/>
    </row>
    <row r="78">
      <c r="A78" s="33"/>
      <c r="G78" s="33" t="str">
        <f>IFERROR(__xludf.DUMMYFUNCTION("IF(OR(A78="""",F78=""""),"""",TEXT(WORKDAY(DATE(VALUE(LEFT(TO_TEXT(A78),4)),VALUE(MID(TO_TEXT(A78),5,2)),VALUE(RIGHT(TO_TEXT(A78),2))),F78),""yyyymmdd""))"),"")</f>
        <v/>
      </c>
      <c r="H78" s="34" t="str">
        <f t="shared" si="1"/>
        <v/>
      </c>
      <c r="I78" s="35"/>
      <c r="J78" s="35"/>
      <c r="K78" s="35"/>
    </row>
    <row r="79">
      <c r="A79" s="33"/>
      <c r="G79" s="33" t="str">
        <f>IFERROR(__xludf.DUMMYFUNCTION("IF(OR(A79="""",F79=""""),"""",TEXT(WORKDAY(DATE(VALUE(LEFT(TO_TEXT(A79),4)),VALUE(MID(TO_TEXT(A79),5,2)),VALUE(RIGHT(TO_TEXT(A79),2))),F79),""yyyymmdd""))"),"")</f>
        <v/>
      </c>
      <c r="H79" s="34" t="str">
        <f t="shared" si="1"/>
        <v/>
      </c>
      <c r="I79" s="35"/>
      <c r="J79" s="35"/>
      <c r="K79" s="35"/>
    </row>
    <row r="80">
      <c r="A80" s="33"/>
      <c r="G80" s="33" t="str">
        <f>IFERROR(__xludf.DUMMYFUNCTION("IF(OR(A80="""",F80=""""),"""",TEXT(WORKDAY(DATE(VALUE(LEFT(TO_TEXT(A80),4)),VALUE(MID(TO_TEXT(A80),5,2)),VALUE(RIGHT(TO_TEXT(A80),2))),F80),""yyyymmdd""))"),"")</f>
        <v/>
      </c>
      <c r="H80" s="34" t="str">
        <f t="shared" si="1"/>
        <v/>
      </c>
      <c r="I80" s="35"/>
      <c r="J80" s="35"/>
      <c r="K80" s="35"/>
    </row>
    <row r="81">
      <c r="A81" s="33"/>
      <c r="G81" s="33" t="str">
        <f>IFERROR(__xludf.DUMMYFUNCTION("IF(OR(A81="""",F81=""""),"""",TEXT(WORKDAY(DATE(VALUE(LEFT(TO_TEXT(A81),4)),VALUE(MID(TO_TEXT(A81),5,2)),VALUE(RIGHT(TO_TEXT(A81),2))),F81),""yyyymmdd""))"),"")</f>
        <v/>
      </c>
      <c r="H81" s="34" t="str">
        <f t="shared" si="1"/>
        <v/>
      </c>
      <c r="I81" s="35"/>
      <c r="J81" s="35"/>
      <c r="K81" s="35"/>
    </row>
    <row r="82">
      <c r="A82" s="33"/>
      <c r="G82" s="33" t="str">
        <f>IFERROR(__xludf.DUMMYFUNCTION("IF(OR(A82="""",F82=""""),"""",TEXT(WORKDAY(DATE(VALUE(LEFT(TO_TEXT(A82),4)),VALUE(MID(TO_TEXT(A82),5,2)),VALUE(RIGHT(TO_TEXT(A82),2))),F82),""yyyymmdd""))"),"")</f>
        <v/>
      </c>
      <c r="H82" s="34" t="str">
        <f t="shared" si="1"/>
        <v/>
      </c>
      <c r="I82" s="35"/>
      <c r="J82" s="35"/>
      <c r="K82" s="35"/>
    </row>
    <row r="83">
      <c r="A83" s="33"/>
      <c r="G83" s="33" t="str">
        <f>IFERROR(__xludf.DUMMYFUNCTION("IF(OR(A83="""",F83=""""),"""",TEXT(WORKDAY(DATE(VALUE(LEFT(TO_TEXT(A83),4)),VALUE(MID(TO_TEXT(A83),5,2)),VALUE(RIGHT(TO_TEXT(A83),2))),F83),""yyyymmdd""))"),"")</f>
        <v/>
      </c>
      <c r="H83" s="34" t="str">
        <f t="shared" si="1"/>
        <v/>
      </c>
      <c r="I83" s="35"/>
      <c r="J83" s="35"/>
      <c r="K83" s="35"/>
    </row>
    <row r="84">
      <c r="A84" s="33"/>
      <c r="G84" s="33" t="str">
        <f>IFERROR(__xludf.DUMMYFUNCTION("IF(OR(A84="""",F84=""""),"""",TEXT(WORKDAY(DATE(VALUE(LEFT(TO_TEXT(A84),4)),VALUE(MID(TO_TEXT(A84),5,2)),VALUE(RIGHT(TO_TEXT(A84),2))),F84),""yyyymmdd""))"),"")</f>
        <v/>
      </c>
      <c r="H84" s="34" t="str">
        <f t="shared" si="1"/>
        <v/>
      </c>
      <c r="I84" s="35"/>
      <c r="J84" s="35"/>
      <c r="K84" s="35"/>
    </row>
    <row r="85">
      <c r="A85" s="33"/>
      <c r="G85" s="33" t="str">
        <f>IFERROR(__xludf.DUMMYFUNCTION("IF(OR(A85="""",F85=""""),"""",TEXT(WORKDAY(DATE(VALUE(LEFT(TO_TEXT(A85),4)),VALUE(MID(TO_TEXT(A85),5,2)),VALUE(RIGHT(TO_TEXT(A85),2))),F85),""yyyymmdd""))"),"")</f>
        <v/>
      </c>
      <c r="H85" s="34" t="str">
        <f t="shared" si="1"/>
        <v/>
      </c>
      <c r="I85" s="35"/>
      <c r="J85" s="35"/>
      <c r="K85" s="35"/>
    </row>
    <row r="86">
      <c r="A86" s="33"/>
      <c r="G86" s="33" t="str">
        <f>IFERROR(__xludf.DUMMYFUNCTION("IF(OR(A86="""",F86=""""),"""",TEXT(WORKDAY(DATE(VALUE(LEFT(TO_TEXT(A86),4)),VALUE(MID(TO_TEXT(A86),5,2)),VALUE(RIGHT(TO_TEXT(A86),2))),F86),""yyyymmdd""))"),"")</f>
        <v/>
      </c>
      <c r="H86" s="34" t="str">
        <f t="shared" si="1"/>
        <v/>
      </c>
      <c r="I86" s="35"/>
      <c r="J86" s="35"/>
      <c r="K86" s="35"/>
    </row>
    <row r="87">
      <c r="A87" s="33"/>
      <c r="G87" s="33" t="str">
        <f>IFERROR(__xludf.DUMMYFUNCTION("IF(OR(A87="""",F87=""""),"""",TEXT(WORKDAY(DATE(VALUE(LEFT(TO_TEXT(A87),4)),VALUE(MID(TO_TEXT(A87),5,2)),VALUE(RIGHT(TO_TEXT(A87),2))),F87),""yyyymmdd""))"),"")</f>
        <v/>
      </c>
      <c r="H87" s="34" t="str">
        <f t="shared" si="1"/>
        <v/>
      </c>
      <c r="I87" s="35"/>
      <c r="J87" s="35"/>
      <c r="K87" s="35"/>
    </row>
    <row r="88">
      <c r="A88" s="33"/>
      <c r="G88" s="33" t="str">
        <f>IFERROR(__xludf.DUMMYFUNCTION("IF(OR(A88="""",F88=""""),"""",TEXT(WORKDAY(DATE(VALUE(LEFT(TO_TEXT(A88),4)),VALUE(MID(TO_TEXT(A88),5,2)),VALUE(RIGHT(TO_TEXT(A88),2))),F88),""yyyymmdd""))"),"")</f>
        <v/>
      </c>
      <c r="H88" s="34" t="str">
        <f t="shared" si="1"/>
        <v/>
      </c>
      <c r="I88" s="35"/>
      <c r="J88" s="35"/>
      <c r="K88" s="35"/>
    </row>
    <row r="89">
      <c r="A89" s="33"/>
      <c r="G89" s="33" t="str">
        <f>IFERROR(__xludf.DUMMYFUNCTION("IF(OR(A89="""",F89=""""),"""",TEXT(WORKDAY(DATE(VALUE(LEFT(TO_TEXT(A89),4)),VALUE(MID(TO_TEXT(A89),5,2)),VALUE(RIGHT(TO_TEXT(A89),2))),F89),""yyyymmdd""))"),"")</f>
        <v/>
      </c>
      <c r="H89" s="34" t="str">
        <f t="shared" si="1"/>
        <v/>
      </c>
      <c r="I89" s="35"/>
      <c r="J89" s="35"/>
      <c r="K89" s="35"/>
    </row>
    <row r="90">
      <c r="A90" s="33"/>
      <c r="G90" s="33" t="str">
        <f>IFERROR(__xludf.DUMMYFUNCTION("IF(OR(A90="""",F90=""""),"""",TEXT(WORKDAY(DATE(VALUE(LEFT(TO_TEXT(A90),4)),VALUE(MID(TO_TEXT(A90),5,2)),VALUE(RIGHT(TO_TEXT(A90),2))),F90),""yyyymmdd""))"),"")</f>
        <v/>
      </c>
      <c r="H90" s="34" t="str">
        <f t="shared" si="1"/>
        <v/>
      </c>
      <c r="I90" s="35"/>
      <c r="J90" s="35"/>
      <c r="K90" s="35"/>
    </row>
    <row r="91">
      <c r="A91" s="33"/>
      <c r="G91" s="33" t="str">
        <f>IFERROR(__xludf.DUMMYFUNCTION("IF(OR(A91="""",F91=""""),"""",TEXT(WORKDAY(DATE(VALUE(LEFT(TO_TEXT(A91),4)),VALUE(MID(TO_TEXT(A91),5,2)),VALUE(RIGHT(TO_TEXT(A91),2))),F91),""yyyymmdd""))"),"")</f>
        <v/>
      </c>
      <c r="H91" s="34" t="str">
        <f t="shared" si="1"/>
        <v/>
      </c>
      <c r="I91" s="35"/>
      <c r="J91" s="35"/>
      <c r="K91" s="35"/>
    </row>
    <row r="92">
      <c r="A92" s="33"/>
      <c r="G92" s="33" t="str">
        <f>IFERROR(__xludf.DUMMYFUNCTION("IF(OR(A92="""",F92=""""),"""",TEXT(WORKDAY(DATE(VALUE(LEFT(TO_TEXT(A92),4)),VALUE(MID(TO_TEXT(A92),5,2)),VALUE(RIGHT(TO_TEXT(A92),2))),F92),""yyyymmdd""))"),"")</f>
        <v/>
      </c>
      <c r="H92" s="34" t="str">
        <f t="shared" si="1"/>
        <v/>
      </c>
      <c r="I92" s="35"/>
      <c r="J92" s="35"/>
      <c r="K92" s="35"/>
    </row>
    <row r="93">
      <c r="A93" s="33"/>
      <c r="G93" s="33" t="str">
        <f>IFERROR(__xludf.DUMMYFUNCTION("IF(OR(A93="""",F93=""""),"""",TEXT(WORKDAY(DATE(VALUE(LEFT(TO_TEXT(A93),4)),VALUE(MID(TO_TEXT(A93),5,2)),VALUE(RIGHT(TO_TEXT(A93),2))),F93),""yyyymmdd""))"),"")</f>
        <v/>
      </c>
      <c r="H93" s="34" t="str">
        <f t="shared" si="1"/>
        <v/>
      </c>
      <c r="I93" s="35"/>
      <c r="J93" s="35"/>
      <c r="K93" s="35"/>
    </row>
    <row r="94">
      <c r="A94" s="33"/>
      <c r="G94" s="33" t="str">
        <f>IFERROR(__xludf.DUMMYFUNCTION("IF(OR(A94="""",F94=""""),"""",TEXT(WORKDAY(DATE(VALUE(LEFT(TO_TEXT(A94),4)),VALUE(MID(TO_TEXT(A94),5,2)),VALUE(RIGHT(TO_TEXT(A94),2))),F94),""yyyymmdd""))"),"")</f>
        <v/>
      </c>
      <c r="H94" s="34" t="str">
        <f t="shared" si="1"/>
        <v/>
      </c>
      <c r="I94" s="35"/>
      <c r="J94" s="35"/>
      <c r="K94" s="35"/>
    </row>
    <row r="95">
      <c r="A95" s="33"/>
      <c r="G95" s="33" t="str">
        <f>IFERROR(__xludf.DUMMYFUNCTION("IF(OR(A95="""",F95=""""),"""",TEXT(WORKDAY(DATE(VALUE(LEFT(TO_TEXT(A95),4)),VALUE(MID(TO_TEXT(A95),5,2)),VALUE(RIGHT(TO_TEXT(A95),2))),F95),""yyyymmdd""))"),"")</f>
        <v/>
      </c>
      <c r="H95" s="34" t="str">
        <f t="shared" si="1"/>
        <v/>
      </c>
      <c r="I95" s="35"/>
      <c r="J95" s="35"/>
      <c r="K95" s="35"/>
    </row>
    <row r="96">
      <c r="A96" s="33"/>
      <c r="G96" s="33" t="str">
        <f>IFERROR(__xludf.DUMMYFUNCTION("IF(OR(A96="""",F96=""""),"""",TEXT(WORKDAY(DATE(VALUE(LEFT(TO_TEXT(A96),4)),VALUE(MID(TO_TEXT(A96),5,2)),VALUE(RIGHT(TO_TEXT(A96),2))),F96),""yyyymmdd""))"),"")</f>
        <v/>
      </c>
      <c r="H96" s="34" t="str">
        <f t="shared" si="1"/>
        <v/>
      </c>
      <c r="I96" s="35"/>
      <c r="J96" s="35"/>
      <c r="K96" s="35"/>
    </row>
    <row r="97">
      <c r="A97" s="33"/>
      <c r="G97" s="33" t="str">
        <f>IFERROR(__xludf.DUMMYFUNCTION("IF(OR(A97="""",F97=""""),"""",TEXT(WORKDAY(DATE(VALUE(LEFT(TO_TEXT(A97),4)),VALUE(MID(TO_TEXT(A97),5,2)),VALUE(RIGHT(TO_TEXT(A97),2))),F97),""yyyymmdd""))"),"")</f>
        <v/>
      </c>
      <c r="H97" s="34" t="str">
        <f t="shared" si="1"/>
        <v/>
      </c>
      <c r="I97" s="35"/>
      <c r="J97" s="35"/>
      <c r="K97" s="35"/>
    </row>
    <row r="98">
      <c r="A98" s="33"/>
      <c r="G98" s="33" t="str">
        <f>IFERROR(__xludf.DUMMYFUNCTION("IF(OR(A98="""",F98=""""),"""",TEXT(WORKDAY(DATE(VALUE(LEFT(TO_TEXT(A98),4)),VALUE(MID(TO_TEXT(A98),5,2)),VALUE(RIGHT(TO_TEXT(A98),2))),F98),""yyyymmdd""))"),"")</f>
        <v/>
      </c>
      <c r="H98" s="34" t="str">
        <f t="shared" si="1"/>
        <v/>
      </c>
      <c r="I98" s="35"/>
      <c r="J98" s="35"/>
      <c r="K98" s="35"/>
    </row>
    <row r="99">
      <c r="A99" s="33"/>
      <c r="G99" s="33" t="str">
        <f>IFERROR(__xludf.DUMMYFUNCTION("IF(OR(A99="""",F99=""""),"""",TEXT(WORKDAY(DATE(VALUE(LEFT(TO_TEXT(A99),4)),VALUE(MID(TO_TEXT(A99),5,2)),VALUE(RIGHT(TO_TEXT(A99),2))),F99),""yyyymmdd""))"),"")</f>
        <v/>
      </c>
      <c r="H99" s="34" t="str">
        <f t="shared" si="1"/>
        <v/>
      </c>
      <c r="I99" s="35"/>
      <c r="J99" s="35"/>
      <c r="K99" s="35"/>
    </row>
    <row r="100">
      <c r="A100" s="33"/>
      <c r="G100" s="33" t="str">
        <f>IFERROR(__xludf.DUMMYFUNCTION("IF(OR(A100="""",F100=""""),"""",TEXT(WORKDAY(DATE(VALUE(LEFT(TO_TEXT(A100),4)),VALUE(MID(TO_TEXT(A100),5,2)),VALUE(RIGHT(TO_TEXT(A100),2))),F100),""yyyymmdd""))"),"")</f>
        <v/>
      </c>
      <c r="H100" s="34" t="str">
        <f t="shared" si="1"/>
        <v/>
      </c>
      <c r="I100" s="35"/>
      <c r="J100" s="35"/>
      <c r="K100" s="35"/>
    </row>
    <row r="101">
      <c r="A101" s="33"/>
      <c r="G101" s="33" t="str">
        <f>IFERROR(__xludf.DUMMYFUNCTION("IF(OR(A101="""",F101=""""),"""",TEXT(WORKDAY(DATE(VALUE(LEFT(TO_TEXT(A101),4)),VALUE(MID(TO_TEXT(A101),5,2)),VALUE(RIGHT(TO_TEXT(A101),2))),F101),""yyyymmdd""))"),"")</f>
        <v/>
      </c>
      <c r="H101" s="34" t="str">
        <f t="shared" si="1"/>
        <v/>
      </c>
      <c r="I101" s="35"/>
      <c r="J101" s="35"/>
      <c r="K101" s="35"/>
    </row>
    <row r="102">
      <c r="A102" s="33"/>
      <c r="G102" s="33" t="str">
        <f>IFERROR(__xludf.DUMMYFUNCTION("IF(OR(A102="""",F102=""""),"""",TEXT(WORKDAY(DATE(VALUE(LEFT(TO_TEXT(A102),4)),VALUE(MID(TO_TEXT(A102),5,2)),VALUE(RIGHT(TO_TEXT(A102),2))),F102),""yyyymmdd""))"),"")</f>
        <v/>
      </c>
      <c r="H102" s="34" t="str">
        <f t="shared" si="1"/>
        <v/>
      </c>
      <c r="I102" s="35"/>
      <c r="J102" s="35"/>
      <c r="K102" s="35"/>
    </row>
    <row r="103">
      <c r="A103" s="33"/>
      <c r="G103" s="33" t="str">
        <f>IFERROR(__xludf.DUMMYFUNCTION("IF(OR(A103="""",F103=""""),"""",TEXT(WORKDAY(DATE(VALUE(LEFT(TO_TEXT(A103),4)),VALUE(MID(TO_TEXT(A103),5,2)),VALUE(RIGHT(TO_TEXT(A103),2))),F103),""yyyymmdd""))"),"")</f>
        <v/>
      </c>
      <c r="H103" s="34" t="str">
        <f t="shared" si="1"/>
        <v/>
      </c>
      <c r="I103" s="35"/>
      <c r="J103" s="35"/>
      <c r="K103" s="35"/>
    </row>
    <row r="104">
      <c r="A104" s="33"/>
      <c r="G104" s="33" t="str">
        <f>IFERROR(__xludf.DUMMYFUNCTION("IF(OR(A104="""",F104=""""),"""",TEXT(WORKDAY(DATE(VALUE(LEFT(TO_TEXT(A104),4)),VALUE(MID(TO_TEXT(A104),5,2)),VALUE(RIGHT(TO_TEXT(A104),2))),F104),""yyyymmdd""))"),"")</f>
        <v/>
      </c>
      <c r="H104" s="34" t="str">
        <f t="shared" si="1"/>
        <v/>
      </c>
      <c r="I104" s="35"/>
      <c r="J104" s="35"/>
      <c r="K104" s="35"/>
    </row>
    <row r="105">
      <c r="A105" s="33"/>
      <c r="G105" s="33" t="str">
        <f>IFERROR(__xludf.DUMMYFUNCTION("IF(OR(A105="""",F105=""""),"""",TEXT(WORKDAY(DATE(VALUE(LEFT(TO_TEXT(A105),4)),VALUE(MID(TO_TEXT(A105),5,2)),VALUE(RIGHT(TO_TEXT(A105),2))),F105),""yyyymmdd""))"),"")</f>
        <v/>
      </c>
      <c r="H105" s="34" t="str">
        <f t="shared" si="1"/>
        <v/>
      </c>
      <c r="I105" s="35"/>
      <c r="J105" s="35"/>
      <c r="K105" s="35"/>
    </row>
    <row r="106">
      <c r="A106" s="33"/>
      <c r="G106" s="33" t="str">
        <f>IFERROR(__xludf.DUMMYFUNCTION("IF(OR(A106="""",F106=""""),"""",TEXT(WORKDAY(DATE(VALUE(LEFT(TO_TEXT(A106),4)),VALUE(MID(TO_TEXT(A106),5,2)),VALUE(RIGHT(TO_TEXT(A106),2))),F106),""yyyymmdd""))"),"")</f>
        <v/>
      </c>
      <c r="H106" s="34" t="str">
        <f t="shared" si="1"/>
        <v/>
      </c>
      <c r="I106" s="35"/>
      <c r="J106" s="35"/>
      <c r="K106" s="35"/>
    </row>
    <row r="107">
      <c r="A107" s="33"/>
      <c r="G107" s="33" t="str">
        <f>IFERROR(__xludf.DUMMYFUNCTION("IF(OR(A107="""",F107=""""),"""",TEXT(WORKDAY(DATE(VALUE(LEFT(TO_TEXT(A107),4)),VALUE(MID(TO_TEXT(A107),5,2)),VALUE(RIGHT(TO_TEXT(A107),2))),F107),""yyyymmdd""))"),"")</f>
        <v/>
      </c>
      <c r="H107" s="34" t="str">
        <f t="shared" si="1"/>
        <v/>
      </c>
      <c r="I107" s="35"/>
      <c r="J107" s="35"/>
      <c r="K107" s="35"/>
    </row>
    <row r="108">
      <c r="A108" s="33"/>
      <c r="G108" s="33" t="str">
        <f>IFERROR(__xludf.DUMMYFUNCTION("IF(OR(A108="""",F108=""""),"""",TEXT(WORKDAY(DATE(VALUE(LEFT(TO_TEXT(A108),4)),VALUE(MID(TO_TEXT(A108),5,2)),VALUE(RIGHT(TO_TEXT(A108),2))),F108),""yyyymmdd""))"),"")</f>
        <v/>
      </c>
      <c r="H108" s="34" t="str">
        <f t="shared" si="1"/>
        <v/>
      </c>
      <c r="I108" s="35"/>
      <c r="J108" s="35"/>
      <c r="K108" s="35"/>
    </row>
    <row r="109">
      <c r="A109" s="33"/>
      <c r="G109" s="33" t="str">
        <f>IFERROR(__xludf.DUMMYFUNCTION("IF(OR(A109="""",F109=""""),"""",TEXT(WORKDAY(DATE(VALUE(LEFT(TO_TEXT(A109),4)),VALUE(MID(TO_TEXT(A109),5,2)),VALUE(RIGHT(TO_TEXT(A109),2))),F109),""yyyymmdd""))"),"")</f>
        <v/>
      </c>
      <c r="H109" s="34" t="str">
        <f t="shared" si="1"/>
        <v/>
      </c>
      <c r="I109" s="35"/>
      <c r="J109" s="35"/>
      <c r="K109" s="35"/>
    </row>
    <row r="110">
      <c r="A110" s="33"/>
      <c r="G110" s="33" t="str">
        <f>IFERROR(__xludf.DUMMYFUNCTION("IF(OR(A110="""",F110=""""),"""",TEXT(WORKDAY(DATE(VALUE(LEFT(TO_TEXT(A110),4)),VALUE(MID(TO_TEXT(A110),5,2)),VALUE(RIGHT(TO_TEXT(A110),2))),F110),""yyyymmdd""))"),"")</f>
        <v/>
      </c>
      <c r="H110" s="34" t="str">
        <f t="shared" si="1"/>
        <v/>
      </c>
      <c r="I110" s="35"/>
      <c r="J110" s="35"/>
      <c r="K110" s="35"/>
    </row>
    <row r="111">
      <c r="A111" s="33"/>
      <c r="G111" s="33" t="str">
        <f>IFERROR(__xludf.DUMMYFUNCTION("IF(OR(A111="""",F111=""""),"""",TEXT(WORKDAY(DATE(VALUE(LEFT(TO_TEXT(A111),4)),VALUE(MID(TO_TEXT(A111),5,2)),VALUE(RIGHT(TO_TEXT(A111),2))),F111),""yyyymmdd""))"),"")</f>
        <v/>
      </c>
      <c r="H111" s="34" t="str">
        <f t="shared" si="1"/>
        <v/>
      </c>
      <c r="I111" s="35"/>
      <c r="J111" s="35"/>
      <c r="K111" s="35"/>
    </row>
    <row r="112">
      <c r="A112" s="33"/>
      <c r="G112" s="33" t="str">
        <f>IFERROR(__xludf.DUMMYFUNCTION("IF(OR(A112="""",F112=""""),"""",TEXT(WORKDAY(DATE(VALUE(LEFT(TO_TEXT(A112),4)),VALUE(MID(TO_TEXT(A112),5,2)),VALUE(RIGHT(TO_TEXT(A112),2))),F112),""yyyymmdd""))"),"")</f>
        <v/>
      </c>
      <c r="H112" s="34" t="str">
        <f t="shared" si="1"/>
        <v/>
      </c>
      <c r="I112" s="35"/>
      <c r="J112" s="35"/>
      <c r="K112" s="35"/>
    </row>
    <row r="113">
      <c r="A113" s="33"/>
      <c r="G113" s="33" t="str">
        <f>IFERROR(__xludf.DUMMYFUNCTION("IF(OR(A113="""",F113=""""),"""",TEXT(WORKDAY(DATE(VALUE(LEFT(TO_TEXT(A113),4)),VALUE(MID(TO_TEXT(A113),5,2)),VALUE(RIGHT(TO_TEXT(A113),2))),F113),""yyyymmdd""))"),"")</f>
        <v/>
      </c>
      <c r="H113" s="34" t="str">
        <f t="shared" si="1"/>
        <v/>
      </c>
      <c r="I113" s="35"/>
      <c r="J113" s="35"/>
      <c r="K113" s="35"/>
    </row>
    <row r="114">
      <c r="A114" s="33"/>
      <c r="G114" s="33" t="str">
        <f>IFERROR(__xludf.DUMMYFUNCTION("IF(OR(A114="""",F114=""""),"""",TEXT(WORKDAY(DATE(VALUE(LEFT(TO_TEXT(A114),4)),VALUE(MID(TO_TEXT(A114),5,2)),VALUE(RIGHT(TO_TEXT(A114),2))),F114),""yyyymmdd""))"),"")</f>
        <v/>
      </c>
      <c r="H114" s="34" t="str">
        <f t="shared" si="1"/>
        <v/>
      </c>
      <c r="I114" s="35"/>
      <c r="J114" s="35"/>
      <c r="K114" s="35"/>
    </row>
    <row r="115">
      <c r="A115" s="33"/>
      <c r="G115" s="33" t="str">
        <f>IFERROR(__xludf.DUMMYFUNCTION("IF(OR(A115="""",F115=""""),"""",TEXT(WORKDAY(DATE(VALUE(LEFT(TO_TEXT(A115),4)),VALUE(MID(TO_TEXT(A115),5,2)),VALUE(RIGHT(TO_TEXT(A115),2))),F115),""yyyymmdd""))"),"")</f>
        <v/>
      </c>
      <c r="H115" s="34" t="str">
        <f t="shared" si="1"/>
        <v/>
      </c>
      <c r="I115" s="35"/>
      <c r="J115" s="35"/>
      <c r="K115" s="35"/>
    </row>
    <row r="116">
      <c r="A116" s="33"/>
      <c r="G116" s="33" t="str">
        <f>IFERROR(__xludf.DUMMYFUNCTION("IF(OR(A116="""",F116=""""),"""",TEXT(WORKDAY(DATE(VALUE(LEFT(TO_TEXT(A116),4)),VALUE(MID(TO_TEXT(A116),5,2)),VALUE(RIGHT(TO_TEXT(A116),2))),F116),""yyyymmdd""))"),"")</f>
        <v/>
      </c>
      <c r="H116" s="34" t="str">
        <f t="shared" si="1"/>
        <v/>
      </c>
      <c r="I116" s="35"/>
      <c r="J116" s="35"/>
      <c r="K116" s="35"/>
    </row>
    <row r="117">
      <c r="A117" s="33"/>
      <c r="G117" s="33" t="str">
        <f>IFERROR(__xludf.DUMMYFUNCTION("IF(OR(A117="""",F117=""""),"""",TEXT(WORKDAY(DATE(VALUE(LEFT(TO_TEXT(A117),4)),VALUE(MID(TO_TEXT(A117),5,2)),VALUE(RIGHT(TO_TEXT(A117),2))),F117),""yyyymmdd""))"),"")</f>
        <v/>
      </c>
      <c r="H117" s="34" t="str">
        <f t="shared" si="1"/>
        <v/>
      </c>
      <c r="I117" s="35"/>
      <c r="J117" s="35"/>
      <c r="K117" s="35"/>
    </row>
    <row r="118">
      <c r="A118" s="33"/>
      <c r="G118" s="33" t="str">
        <f>IFERROR(__xludf.DUMMYFUNCTION("IF(OR(A118="""",F118=""""),"""",TEXT(WORKDAY(DATE(VALUE(LEFT(TO_TEXT(A118),4)),VALUE(MID(TO_TEXT(A118),5,2)),VALUE(RIGHT(TO_TEXT(A118),2))),F118),""yyyymmdd""))"),"")</f>
        <v/>
      </c>
      <c r="H118" s="34" t="str">
        <f t="shared" si="1"/>
        <v/>
      </c>
      <c r="I118" s="35"/>
      <c r="J118" s="35"/>
      <c r="K118" s="35"/>
    </row>
    <row r="119">
      <c r="A119" s="33"/>
      <c r="G119" s="33" t="str">
        <f>IFERROR(__xludf.DUMMYFUNCTION("IF(OR(A119="""",F119=""""),"""",TEXT(WORKDAY(DATE(VALUE(LEFT(TO_TEXT(A119),4)),VALUE(MID(TO_TEXT(A119),5,2)),VALUE(RIGHT(TO_TEXT(A119),2))),F119),""yyyymmdd""))"),"")</f>
        <v/>
      </c>
      <c r="H119" s="34" t="str">
        <f t="shared" si="1"/>
        <v/>
      </c>
      <c r="I119" s="35"/>
      <c r="J119" s="35"/>
      <c r="K119" s="35"/>
    </row>
    <row r="120">
      <c r="A120" s="33"/>
      <c r="G120" s="33" t="str">
        <f>IFERROR(__xludf.DUMMYFUNCTION("IF(OR(A120="""",F120=""""),"""",TEXT(WORKDAY(DATE(VALUE(LEFT(TO_TEXT(A120),4)),VALUE(MID(TO_TEXT(A120),5,2)),VALUE(RIGHT(TO_TEXT(A120),2))),F120),""yyyymmdd""))"),"")</f>
        <v/>
      </c>
      <c r="H120" s="34" t="str">
        <f t="shared" si="1"/>
        <v/>
      </c>
      <c r="I120" s="35"/>
      <c r="J120" s="35"/>
      <c r="K120" s="35"/>
    </row>
    <row r="121">
      <c r="A121" s="33"/>
      <c r="G121" s="33" t="str">
        <f>IFERROR(__xludf.DUMMYFUNCTION("IF(OR(A121="""",F121=""""),"""",TEXT(WORKDAY(DATE(VALUE(LEFT(TO_TEXT(A121),4)),VALUE(MID(TO_TEXT(A121),5,2)),VALUE(RIGHT(TO_TEXT(A121),2))),F121),""yyyymmdd""))"),"")</f>
        <v/>
      </c>
      <c r="H121" s="34" t="str">
        <f t="shared" si="1"/>
        <v/>
      </c>
      <c r="I121" s="35"/>
      <c r="J121" s="35"/>
      <c r="K121" s="35"/>
    </row>
    <row r="122">
      <c r="A122" s="33"/>
      <c r="G122" s="33" t="str">
        <f>IFERROR(__xludf.DUMMYFUNCTION("IF(OR(A122="""",F122=""""),"""",TEXT(WORKDAY(DATE(VALUE(LEFT(TO_TEXT(A122),4)),VALUE(MID(TO_TEXT(A122),5,2)),VALUE(RIGHT(TO_TEXT(A122),2))),F122),""yyyymmdd""))"),"")</f>
        <v/>
      </c>
      <c r="H122" s="34" t="str">
        <f t="shared" si="1"/>
        <v/>
      </c>
      <c r="I122" s="35"/>
      <c r="J122" s="35"/>
      <c r="K122" s="35"/>
    </row>
    <row r="123">
      <c r="A123" s="33"/>
      <c r="G123" s="33" t="str">
        <f>IFERROR(__xludf.DUMMYFUNCTION("IF(OR(A123="""",F123=""""),"""",TEXT(WORKDAY(DATE(VALUE(LEFT(TO_TEXT(A123),4)),VALUE(MID(TO_TEXT(A123),5,2)),VALUE(RIGHT(TO_TEXT(A123),2))),F123),""yyyymmdd""))"),"")</f>
        <v/>
      </c>
      <c r="H123" s="34" t="str">
        <f t="shared" si="1"/>
        <v/>
      </c>
      <c r="I123" s="35"/>
      <c r="J123" s="35"/>
      <c r="K123" s="35"/>
    </row>
    <row r="124">
      <c r="A124" s="33"/>
      <c r="G124" s="33" t="str">
        <f>IFERROR(__xludf.DUMMYFUNCTION("IF(OR(A124="""",F124=""""),"""",TEXT(WORKDAY(DATE(VALUE(LEFT(TO_TEXT(A124),4)),VALUE(MID(TO_TEXT(A124),5,2)),VALUE(RIGHT(TO_TEXT(A124),2))),F124),""yyyymmdd""))"),"")</f>
        <v/>
      </c>
      <c r="H124" s="34" t="str">
        <f t="shared" si="1"/>
        <v/>
      </c>
      <c r="I124" s="35"/>
      <c r="J124" s="35"/>
      <c r="K124" s="35"/>
    </row>
    <row r="125">
      <c r="A125" s="33"/>
      <c r="G125" s="33" t="str">
        <f>IFERROR(__xludf.DUMMYFUNCTION("IF(OR(A125="""",F125=""""),"""",TEXT(WORKDAY(DATE(VALUE(LEFT(TO_TEXT(A125),4)),VALUE(MID(TO_TEXT(A125),5,2)),VALUE(RIGHT(TO_TEXT(A125),2))),F125),""yyyymmdd""))"),"")</f>
        <v/>
      </c>
      <c r="H125" s="34" t="str">
        <f t="shared" si="1"/>
        <v/>
      </c>
      <c r="I125" s="35"/>
      <c r="J125" s="35"/>
      <c r="K125" s="35"/>
    </row>
    <row r="126">
      <c r="A126" s="33"/>
      <c r="G126" s="33" t="str">
        <f>IFERROR(__xludf.DUMMYFUNCTION("IF(OR(A126="""",F126=""""),"""",TEXT(WORKDAY(DATE(VALUE(LEFT(TO_TEXT(A126),4)),VALUE(MID(TO_TEXT(A126),5,2)),VALUE(RIGHT(TO_TEXT(A126),2))),F126),""yyyymmdd""))"),"")</f>
        <v/>
      </c>
      <c r="H126" s="34" t="str">
        <f t="shared" si="1"/>
        <v/>
      </c>
      <c r="I126" s="35"/>
      <c r="J126" s="35"/>
      <c r="K126" s="35"/>
    </row>
    <row r="127">
      <c r="A127" s="33"/>
      <c r="G127" s="33" t="str">
        <f>IFERROR(__xludf.DUMMYFUNCTION("IF(OR(A127="""",F127=""""),"""",TEXT(WORKDAY(DATE(VALUE(LEFT(TO_TEXT(A127),4)),VALUE(MID(TO_TEXT(A127),5,2)),VALUE(RIGHT(TO_TEXT(A127),2))),F127),""yyyymmdd""))"),"")</f>
        <v/>
      </c>
      <c r="H127" s="34" t="str">
        <f t="shared" si="1"/>
        <v/>
      </c>
      <c r="I127" s="35"/>
      <c r="J127" s="35"/>
      <c r="K127" s="35"/>
    </row>
    <row r="128">
      <c r="A128" s="33"/>
      <c r="G128" s="33" t="str">
        <f>IFERROR(__xludf.DUMMYFUNCTION("IF(OR(A128="""",F128=""""),"""",TEXT(WORKDAY(DATE(VALUE(LEFT(TO_TEXT(A128),4)),VALUE(MID(TO_TEXT(A128),5,2)),VALUE(RIGHT(TO_TEXT(A128),2))),F128),""yyyymmdd""))"),"")</f>
        <v/>
      </c>
      <c r="H128" s="34" t="str">
        <f t="shared" si="1"/>
        <v/>
      </c>
      <c r="I128" s="35"/>
      <c r="J128" s="35"/>
      <c r="K128" s="35"/>
    </row>
    <row r="129">
      <c r="A129" s="33"/>
      <c r="G129" s="33" t="str">
        <f>IFERROR(__xludf.DUMMYFUNCTION("IF(OR(A129="""",F129=""""),"""",TEXT(WORKDAY(DATE(VALUE(LEFT(TO_TEXT(A129),4)),VALUE(MID(TO_TEXT(A129),5,2)),VALUE(RIGHT(TO_TEXT(A129),2))),F129),""yyyymmdd""))"),"")</f>
        <v/>
      </c>
      <c r="H129" s="34" t="str">
        <f t="shared" si="1"/>
        <v/>
      </c>
      <c r="I129" s="35"/>
      <c r="J129" s="35"/>
      <c r="K129" s="35"/>
    </row>
    <row r="130">
      <c r="A130" s="33"/>
      <c r="G130" s="33" t="str">
        <f>IFERROR(__xludf.DUMMYFUNCTION("IF(OR(A130="""",F130=""""),"""",TEXT(WORKDAY(DATE(VALUE(LEFT(TO_TEXT(A130),4)),VALUE(MID(TO_TEXT(A130),5,2)),VALUE(RIGHT(TO_TEXT(A130),2))),F130),""yyyymmdd""))"),"")</f>
        <v/>
      </c>
      <c r="H130" s="34" t="str">
        <f t="shared" si="1"/>
        <v/>
      </c>
      <c r="I130" s="35"/>
      <c r="J130" s="35"/>
      <c r="K130" s="35"/>
    </row>
    <row r="131">
      <c r="A131" s="33"/>
      <c r="G131" s="33" t="str">
        <f>IFERROR(__xludf.DUMMYFUNCTION("IF(OR(A131="""",F131=""""),"""",TEXT(WORKDAY(DATE(VALUE(LEFT(TO_TEXT(A131),4)),VALUE(MID(TO_TEXT(A131),5,2)),VALUE(RIGHT(TO_TEXT(A131),2))),F131),""yyyymmdd""))"),"")</f>
        <v/>
      </c>
      <c r="H131" s="34" t="str">
        <f t="shared" si="1"/>
        <v/>
      </c>
      <c r="I131" s="35"/>
      <c r="J131" s="35"/>
      <c r="K131" s="35"/>
    </row>
    <row r="132">
      <c r="A132" s="33"/>
      <c r="G132" s="33" t="str">
        <f>IFERROR(__xludf.DUMMYFUNCTION("IF(OR(A132="""",F132=""""),"""",TEXT(WORKDAY(DATE(VALUE(LEFT(TO_TEXT(A132),4)),VALUE(MID(TO_TEXT(A132),5,2)),VALUE(RIGHT(TO_TEXT(A132),2))),F132),""yyyymmdd""))"),"")</f>
        <v/>
      </c>
      <c r="H132" s="34" t="str">
        <f t="shared" si="1"/>
        <v/>
      </c>
      <c r="I132" s="35"/>
      <c r="J132" s="35"/>
      <c r="K132" s="35"/>
    </row>
    <row r="133">
      <c r="A133" s="33"/>
      <c r="G133" s="33" t="str">
        <f>IFERROR(__xludf.DUMMYFUNCTION("IF(OR(A133="""",F133=""""),"""",TEXT(WORKDAY(DATE(VALUE(LEFT(TO_TEXT(A133),4)),VALUE(MID(TO_TEXT(A133),5,2)),VALUE(RIGHT(TO_TEXT(A133),2))),F133),""yyyymmdd""))"),"")</f>
        <v/>
      </c>
      <c r="H133" s="34" t="str">
        <f t="shared" si="1"/>
        <v/>
      </c>
      <c r="I133" s="35"/>
      <c r="J133" s="35"/>
      <c r="K133" s="35"/>
    </row>
    <row r="134">
      <c r="A134" s="33"/>
      <c r="G134" s="33" t="str">
        <f>IFERROR(__xludf.DUMMYFUNCTION("IF(OR(A134="""",F134=""""),"""",TEXT(WORKDAY(DATE(VALUE(LEFT(TO_TEXT(A134),4)),VALUE(MID(TO_TEXT(A134),5,2)),VALUE(RIGHT(TO_TEXT(A134),2))),F134),""yyyymmdd""))"),"")</f>
        <v/>
      </c>
      <c r="H134" s="34" t="str">
        <f t="shared" si="1"/>
        <v/>
      </c>
      <c r="I134" s="35"/>
      <c r="J134" s="35"/>
      <c r="K134" s="35"/>
    </row>
    <row r="135">
      <c r="A135" s="33"/>
      <c r="G135" s="33" t="str">
        <f>IFERROR(__xludf.DUMMYFUNCTION("IF(OR(A135="""",F135=""""),"""",TEXT(WORKDAY(DATE(VALUE(LEFT(TO_TEXT(A135),4)),VALUE(MID(TO_TEXT(A135),5,2)),VALUE(RIGHT(TO_TEXT(A135),2))),F135),""yyyymmdd""))"),"")</f>
        <v/>
      </c>
      <c r="H135" s="34" t="str">
        <f t="shared" si="1"/>
        <v/>
      </c>
      <c r="I135" s="35"/>
      <c r="J135" s="35"/>
      <c r="K135" s="35"/>
    </row>
    <row r="136">
      <c r="A136" s="33"/>
      <c r="G136" s="33" t="str">
        <f>IFERROR(__xludf.DUMMYFUNCTION("IF(OR(A136="""",F136=""""),"""",TEXT(WORKDAY(DATE(VALUE(LEFT(TO_TEXT(A136),4)),VALUE(MID(TO_TEXT(A136),5,2)),VALUE(RIGHT(TO_TEXT(A136),2))),F136),""yyyymmdd""))"),"")</f>
        <v/>
      </c>
      <c r="H136" s="34" t="str">
        <f t="shared" si="1"/>
        <v/>
      </c>
      <c r="I136" s="35"/>
      <c r="J136" s="35"/>
      <c r="K136" s="35"/>
    </row>
    <row r="137">
      <c r="A137" s="33"/>
      <c r="G137" s="33" t="str">
        <f>IFERROR(__xludf.DUMMYFUNCTION("IF(OR(A137="""",F137=""""),"""",TEXT(WORKDAY(DATE(VALUE(LEFT(TO_TEXT(A137),4)),VALUE(MID(TO_TEXT(A137),5,2)),VALUE(RIGHT(TO_TEXT(A137),2))),F137),""yyyymmdd""))"),"")</f>
        <v/>
      </c>
      <c r="H137" s="34" t="str">
        <f t="shared" si="1"/>
        <v/>
      </c>
      <c r="I137" s="35"/>
      <c r="J137" s="35"/>
      <c r="K137" s="35"/>
    </row>
    <row r="138">
      <c r="A138" s="33"/>
      <c r="G138" s="33" t="str">
        <f>IFERROR(__xludf.DUMMYFUNCTION("IF(OR(A138="""",F138=""""),"""",TEXT(WORKDAY(DATE(VALUE(LEFT(TO_TEXT(A138),4)),VALUE(MID(TO_TEXT(A138),5,2)),VALUE(RIGHT(TO_TEXT(A138),2))),F138),""yyyymmdd""))"),"")</f>
        <v/>
      </c>
      <c r="H138" s="34" t="str">
        <f t="shared" si="1"/>
        <v/>
      </c>
      <c r="I138" s="35"/>
      <c r="J138" s="35"/>
      <c r="K138" s="35"/>
    </row>
    <row r="139">
      <c r="A139" s="33"/>
      <c r="G139" s="33" t="str">
        <f>IFERROR(__xludf.DUMMYFUNCTION("IF(OR(A139="""",F139=""""),"""",TEXT(WORKDAY(DATE(VALUE(LEFT(TO_TEXT(A139),4)),VALUE(MID(TO_TEXT(A139),5,2)),VALUE(RIGHT(TO_TEXT(A139),2))),F139),""yyyymmdd""))"),"")</f>
        <v/>
      </c>
      <c r="H139" s="34" t="str">
        <f t="shared" si="1"/>
        <v/>
      </c>
      <c r="I139" s="35"/>
      <c r="J139" s="35"/>
      <c r="K139" s="35"/>
    </row>
    <row r="140">
      <c r="A140" s="33"/>
      <c r="G140" s="33" t="str">
        <f>IFERROR(__xludf.DUMMYFUNCTION("IF(OR(A140="""",F140=""""),"""",TEXT(WORKDAY(DATE(VALUE(LEFT(TO_TEXT(A140),4)),VALUE(MID(TO_TEXT(A140),5,2)),VALUE(RIGHT(TO_TEXT(A140),2))),F140),""yyyymmdd""))"),"")</f>
        <v/>
      </c>
      <c r="H140" s="34" t="str">
        <f t="shared" si="1"/>
        <v/>
      </c>
      <c r="I140" s="35"/>
      <c r="J140" s="35"/>
      <c r="K140" s="35"/>
    </row>
    <row r="141">
      <c r="A141" s="33"/>
      <c r="G141" s="33" t="str">
        <f>IFERROR(__xludf.DUMMYFUNCTION("IF(OR(A141="""",F141=""""),"""",TEXT(WORKDAY(DATE(VALUE(LEFT(TO_TEXT(A141),4)),VALUE(MID(TO_TEXT(A141),5,2)),VALUE(RIGHT(TO_TEXT(A141),2))),F141),""yyyymmdd""))"),"")</f>
        <v/>
      </c>
      <c r="H141" s="34" t="str">
        <f t="shared" si="1"/>
        <v/>
      </c>
      <c r="I141" s="35"/>
      <c r="J141" s="35"/>
      <c r="K141" s="35"/>
    </row>
    <row r="142">
      <c r="A142" s="33"/>
      <c r="G142" s="33" t="str">
        <f>IFERROR(__xludf.DUMMYFUNCTION("IF(OR(A142="""",F142=""""),"""",TEXT(WORKDAY(DATE(VALUE(LEFT(TO_TEXT(A142),4)),VALUE(MID(TO_TEXT(A142),5,2)),VALUE(RIGHT(TO_TEXT(A142),2))),F142),""yyyymmdd""))"),"")</f>
        <v/>
      </c>
      <c r="H142" s="34" t="str">
        <f t="shared" si="1"/>
        <v/>
      </c>
      <c r="I142" s="35"/>
      <c r="J142" s="35"/>
      <c r="K142" s="35"/>
    </row>
    <row r="143">
      <c r="A143" s="33"/>
      <c r="G143" s="33" t="str">
        <f>IFERROR(__xludf.DUMMYFUNCTION("IF(OR(A143="""",F143=""""),"""",TEXT(WORKDAY(DATE(VALUE(LEFT(TO_TEXT(A143),4)),VALUE(MID(TO_TEXT(A143),5,2)),VALUE(RIGHT(TO_TEXT(A143),2))),F143),""yyyymmdd""))"),"")</f>
        <v/>
      </c>
      <c r="H143" s="34" t="str">
        <f t="shared" si="1"/>
        <v/>
      </c>
      <c r="I143" s="35"/>
      <c r="J143" s="35"/>
      <c r="K143" s="35"/>
    </row>
    <row r="144">
      <c r="A144" s="33"/>
      <c r="G144" s="33" t="str">
        <f>IFERROR(__xludf.DUMMYFUNCTION("IF(OR(A144="""",F144=""""),"""",TEXT(WORKDAY(DATE(VALUE(LEFT(TO_TEXT(A144),4)),VALUE(MID(TO_TEXT(A144),5,2)),VALUE(RIGHT(TO_TEXT(A144),2))),F144),""yyyymmdd""))"),"")</f>
        <v/>
      </c>
      <c r="H144" s="34" t="str">
        <f t="shared" si="1"/>
        <v/>
      </c>
      <c r="I144" s="35"/>
      <c r="J144" s="35"/>
      <c r="K144" s="35"/>
    </row>
    <row r="145">
      <c r="A145" s="33"/>
      <c r="G145" s="33" t="str">
        <f>IFERROR(__xludf.DUMMYFUNCTION("IF(OR(A145="""",F145=""""),"""",TEXT(WORKDAY(DATE(VALUE(LEFT(TO_TEXT(A145),4)),VALUE(MID(TO_TEXT(A145),5,2)),VALUE(RIGHT(TO_TEXT(A145),2))),F145),""yyyymmdd""))"),"")</f>
        <v/>
      </c>
      <c r="H145" s="34" t="str">
        <f t="shared" si="1"/>
        <v/>
      </c>
      <c r="I145" s="35"/>
      <c r="J145" s="35"/>
      <c r="K145" s="35"/>
    </row>
    <row r="146">
      <c r="A146" s="33"/>
      <c r="G146" s="33" t="str">
        <f>IFERROR(__xludf.DUMMYFUNCTION("IF(OR(A146="""",F146=""""),"""",TEXT(WORKDAY(DATE(VALUE(LEFT(TO_TEXT(A146),4)),VALUE(MID(TO_TEXT(A146),5,2)),VALUE(RIGHT(TO_TEXT(A146),2))),F146),""yyyymmdd""))"),"")</f>
        <v/>
      </c>
      <c r="H146" s="34" t="str">
        <f t="shared" si="1"/>
        <v/>
      </c>
      <c r="I146" s="35"/>
      <c r="J146" s="35"/>
      <c r="K146" s="35"/>
    </row>
    <row r="147">
      <c r="A147" s="33"/>
      <c r="G147" s="33" t="str">
        <f>IFERROR(__xludf.DUMMYFUNCTION("IF(OR(A147="""",F147=""""),"""",TEXT(WORKDAY(DATE(VALUE(LEFT(TO_TEXT(A147),4)),VALUE(MID(TO_TEXT(A147),5,2)),VALUE(RIGHT(TO_TEXT(A147),2))),F147),""yyyymmdd""))"),"")</f>
        <v/>
      </c>
      <c r="H147" s="34" t="str">
        <f t="shared" si="1"/>
        <v/>
      </c>
      <c r="I147" s="35"/>
      <c r="J147" s="35"/>
      <c r="K147" s="35"/>
    </row>
    <row r="148">
      <c r="A148" s="33"/>
      <c r="G148" s="33" t="str">
        <f>IFERROR(__xludf.DUMMYFUNCTION("IF(OR(A148="""",F148=""""),"""",TEXT(WORKDAY(DATE(VALUE(LEFT(TO_TEXT(A148),4)),VALUE(MID(TO_TEXT(A148),5,2)),VALUE(RIGHT(TO_TEXT(A148),2))),F148),""yyyymmdd""))"),"")</f>
        <v/>
      </c>
      <c r="H148" s="34" t="str">
        <f t="shared" si="1"/>
        <v/>
      </c>
      <c r="I148" s="35"/>
      <c r="J148" s="35"/>
      <c r="K148" s="35"/>
    </row>
    <row r="149">
      <c r="A149" s="33"/>
      <c r="G149" s="33" t="str">
        <f>IFERROR(__xludf.DUMMYFUNCTION("IF(OR(A149="""",F149=""""),"""",TEXT(WORKDAY(DATE(VALUE(LEFT(TO_TEXT(A149),4)),VALUE(MID(TO_TEXT(A149),5,2)),VALUE(RIGHT(TO_TEXT(A149),2))),F149),""yyyymmdd""))"),"")</f>
        <v/>
      </c>
      <c r="H149" s="34" t="str">
        <f t="shared" si="1"/>
        <v/>
      </c>
      <c r="I149" s="35"/>
      <c r="J149" s="35"/>
      <c r="K149" s="35"/>
    </row>
    <row r="150">
      <c r="A150" s="33"/>
      <c r="G150" s="33" t="str">
        <f>IFERROR(__xludf.DUMMYFUNCTION("IF(OR(A150="""",F150=""""),"""",TEXT(WORKDAY(DATE(VALUE(LEFT(TO_TEXT(A150),4)),VALUE(MID(TO_TEXT(A150),5,2)),VALUE(RIGHT(TO_TEXT(A150),2))),F150),""yyyymmdd""))"),"")</f>
        <v/>
      </c>
      <c r="H150" s="34" t="str">
        <f t="shared" si="1"/>
        <v/>
      </c>
      <c r="I150" s="35"/>
      <c r="J150" s="35"/>
      <c r="K150" s="35"/>
    </row>
    <row r="151">
      <c r="A151" s="33"/>
      <c r="G151" s="33" t="str">
        <f>IFERROR(__xludf.DUMMYFUNCTION("IF(OR(A151="""",F151=""""),"""",TEXT(WORKDAY(DATE(VALUE(LEFT(TO_TEXT(A151),4)),VALUE(MID(TO_TEXT(A151),5,2)),VALUE(RIGHT(TO_TEXT(A151),2))),F151),""yyyymmdd""))"),"")</f>
        <v/>
      </c>
      <c r="H151" s="34" t="str">
        <f t="shared" si="1"/>
        <v/>
      </c>
      <c r="I151" s="35"/>
      <c r="J151" s="35"/>
      <c r="K151" s="35"/>
    </row>
    <row r="152">
      <c r="A152" s="33"/>
      <c r="G152" s="33" t="str">
        <f>IFERROR(__xludf.DUMMYFUNCTION("IF(OR(A152="""",F152=""""),"""",TEXT(WORKDAY(DATE(VALUE(LEFT(TO_TEXT(A152),4)),VALUE(MID(TO_TEXT(A152),5,2)),VALUE(RIGHT(TO_TEXT(A152),2))),F152),""yyyymmdd""))"),"")</f>
        <v/>
      </c>
      <c r="H152" s="34" t="str">
        <f t="shared" si="1"/>
        <v/>
      </c>
      <c r="I152" s="35"/>
      <c r="J152" s="35"/>
      <c r="K152" s="35"/>
    </row>
    <row r="153">
      <c r="A153" s="33"/>
      <c r="G153" s="33" t="str">
        <f>IFERROR(__xludf.DUMMYFUNCTION("IF(OR(A153="""",F153=""""),"""",TEXT(WORKDAY(DATE(VALUE(LEFT(TO_TEXT(A153),4)),VALUE(MID(TO_TEXT(A153),5,2)),VALUE(RIGHT(TO_TEXT(A153),2))),F153),""yyyymmdd""))"),"")</f>
        <v/>
      </c>
      <c r="H153" s="34" t="str">
        <f t="shared" si="1"/>
        <v/>
      </c>
      <c r="I153" s="35"/>
      <c r="J153" s="35"/>
      <c r="K153" s="35"/>
    </row>
    <row r="154">
      <c r="A154" s="33"/>
      <c r="G154" s="33" t="str">
        <f>IFERROR(__xludf.DUMMYFUNCTION("IF(OR(A154="""",F154=""""),"""",TEXT(WORKDAY(DATE(VALUE(LEFT(TO_TEXT(A154),4)),VALUE(MID(TO_TEXT(A154),5,2)),VALUE(RIGHT(TO_TEXT(A154),2))),F154),""yyyymmdd""))"),"")</f>
        <v/>
      </c>
      <c r="H154" s="34" t="str">
        <f t="shared" si="1"/>
        <v/>
      </c>
      <c r="I154" s="35"/>
      <c r="J154" s="35"/>
      <c r="K154" s="35"/>
    </row>
    <row r="155">
      <c r="A155" s="33"/>
      <c r="G155" s="33" t="str">
        <f>IFERROR(__xludf.DUMMYFUNCTION("IF(OR(A155="""",F155=""""),"""",TEXT(WORKDAY(DATE(VALUE(LEFT(TO_TEXT(A155),4)),VALUE(MID(TO_TEXT(A155),5,2)),VALUE(RIGHT(TO_TEXT(A155),2))),F155),""yyyymmdd""))"),"")</f>
        <v/>
      </c>
      <c r="H155" s="34" t="str">
        <f t="shared" si="1"/>
        <v/>
      </c>
      <c r="I155" s="35"/>
      <c r="J155" s="35"/>
      <c r="K155" s="35"/>
    </row>
    <row r="156">
      <c r="A156" s="33"/>
      <c r="G156" s="33" t="str">
        <f>IFERROR(__xludf.DUMMYFUNCTION("IF(OR(A156="""",F156=""""),"""",TEXT(WORKDAY(DATE(VALUE(LEFT(TO_TEXT(A156),4)),VALUE(MID(TO_TEXT(A156),5,2)),VALUE(RIGHT(TO_TEXT(A156),2))),F156),""yyyymmdd""))"),"")</f>
        <v/>
      </c>
      <c r="H156" s="34" t="str">
        <f t="shared" si="1"/>
        <v/>
      </c>
      <c r="I156" s="35"/>
      <c r="J156" s="35"/>
      <c r="K156" s="35"/>
    </row>
    <row r="157">
      <c r="A157" s="33"/>
      <c r="G157" s="33" t="str">
        <f>IFERROR(__xludf.DUMMYFUNCTION("IF(OR(A157="""",F157=""""),"""",TEXT(WORKDAY(DATE(VALUE(LEFT(TO_TEXT(A157),4)),VALUE(MID(TO_TEXT(A157),5,2)),VALUE(RIGHT(TO_TEXT(A157),2))),F157),""yyyymmdd""))"),"")</f>
        <v/>
      </c>
      <c r="H157" s="34" t="str">
        <f t="shared" si="1"/>
        <v/>
      </c>
      <c r="I157" s="35"/>
      <c r="J157" s="35"/>
      <c r="K157" s="35"/>
    </row>
    <row r="158">
      <c r="A158" s="33"/>
      <c r="G158" s="33" t="str">
        <f>IFERROR(__xludf.DUMMYFUNCTION("IF(OR(A158="""",F158=""""),"""",TEXT(WORKDAY(DATE(VALUE(LEFT(TO_TEXT(A158),4)),VALUE(MID(TO_TEXT(A158),5,2)),VALUE(RIGHT(TO_TEXT(A158),2))),F158),""yyyymmdd""))"),"")</f>
        <v/>
      </c>
      <c r="H158" s="34" t="str">
        <f t="shared" si="1"/>
        <v/>
      </c>
      <c r="I158" s="35"/>
      <c r="J158" s="35"/>
      <c r="K158" s="35"/>
    </row>
    <row r="159">
      <c r="A159" s="33"/>
      <c r="G159" s="33" t="str">
        <f>IFERROR(__xludf.DUMMYFUNCTION("IF(OR(A159="""",F159=""""),"""",TEXT(WORKDAY(DATE(VALUE(LEFT(TO_TEXT(A159),4)),VALUE(MID(TO_TEXT(A159),5,2)),VALUE(RIGHT(TO_TEXT(A159),2))),F159),""yyyymmdd""))"),"")</f>
        <v/>
      </c>
      <c r="H159" s="34" t="str">
        <f t="shared" si="1"/>
        <v/>
      </c>
      <c r="I159" s="35"/>
      <c r="J159" s="35"/>
      <c r="K159" s="35"/>
    </row>
    <row r="160">
      <c r="A160" s="33"/>
      <c r="G160" s="33" t="str">
        <f>IFERROR(__xludf.DUMMYFUNCTION("IF(OR(A160="""",F160=""""),"""",TEXT(WORKDAY(DATE(VALUE(LEFT(TO_TEXT(A160),4)),VALUE(MID(TO_TEXT(A160),5,2)),VALUE(RIGHT(TO_TEXT(A160),2))),F160),""yyyymmdd""))"),"")</f>
        <v/>
      </c>
      <c r="H160" s="34" t="str">
        <f t="shared" si="1"/>
        <v/>
      </c>
      <c r="I160" s="35"/>
      <c r="J160" s="35"/>
      <c r="K160" s="35"/>
    </row>
    <row r="161">
      <c r="A161" s="33"/>
      <c r="G161" s="33" t="str">
        <f>IFERROR(__xludf.DUMMYFUNCTION("IF(OR(A161="""",F161=""""),"""",TEXT(WORKDAY(DATE(VALUE(LEFT(TO_TEXT(A161),4)),VALUE(MID(TO_TEXT(A161),5,2)),VALUE(RIGHT(TO_TEXT(A161),2))),F161),""yyyymmdd""))"),"")</f>
        <v/>
      </c>
      <c r="H161" s="34" t="str">
        <f t="shared" si="1"/>
        <v/>
      </c>
      <c r="I161" s="35"/>
      <c r="J161" s="35"/>
      <c r="K161" s="35"/>
    </row>
    <row r="162">
      <c r="A162" s="33"/>
      <c r="G162" s="33" t="str">
        <f>IFERROR(__xludf.DUMMYFUNCTION("IF(OR(A162="""",F162=""""),"""",TEXT(WORKDAY(DATE(VALUE(LEFT(TO_TEXT(A162),4)),VALUE(MID(TO_TEXT(A162),5,2)),VALUE(RIGHT(TO_TEXT(A162),2))),F162),""yyyymmdd""))"),"")</f>
        <v/>
      </c>
      <c r="H162" s="34" t="str">
        <f t="shared" si="1"/>
        <v/>
      </c>
      <c r="I162" s="35"/>
      <c r="J162" s="35"/>
      <c r="K162" s="35"/>
    </row>
    <row r="163">
      <c r="A163" s="33"/>
      <c r="G163" s="33" t="str">
        <f>IFERROR(__xludf.DUMMYFUNCTION("IF(OR(A163="""",F163=""""),"""",TEXT(WORKDAY(DATE(VALUE(LEFT(TO_TEXT(A163),4)),VALUE(MID(TO_TEXT(A163),5,2)),VALUE(RIGHT(TO_TEXT(A163),2))),F163),""yyyymmdd""))"),"")</f>
        <v/>
      </c>
      <c r="H163" s="34" t="str">
        <f t="shared" si="1"/>
        <v/>
      </c>
      <c r="I163" s="35"/>
      <c r="J163" s="35"/>
      <c r="K163" s="35"/>
    </row>
    <row r="164">
      <c r="A164" s="33"/>
      <c r="G164" s="33" t="str">
        <f>IFERROR(__xludf.DUMMYFUNCTION("IF(OR(A164="""",F164=""""),"""",TEXT(WORKDAY(DATE(VALUE(LEFT(TO_TEXT(A164),4)),VALUE(MID(TO_TEXT(A164),5,2)),VALUE(RIGHT(TO_TEXT(A164),2))),F164),""yyyymmdd""))"),"")</f>
        <v/>
      </c>
      <c r="H164" s="34" t="str">
        <f t="shared" si="1"/>
        <v/>
      </c>
      <c r="I164" s="35"/>
      <c r="J164" s="35"/>
      <c r="K164" s="35"/>
    </row>
    <row r="165">
      <c r="A165" s="33"/>
      <c r="G165" s="33" t="str">
        <f>IFERROR(__xludf.DUMMYFUNCTION("IF(OR(A165="""",F165=""""),"""",TEXT(WORKDAY(DATE(VALUE(LEFT(TO_TEXT(A165),4)),VALUE(MID(TO_TEXT(A165),5,2)),VALUE(RIGHT(TO_TEXT(A165),2))),F165),""yyyymmdd""))"),"")</f>
        <v/>
      </c>
      <c r="H165" s="34" t="str">
        <f t="shared" si="1"/>
        <v/>
      </c>
      <c r="I165" s="35"/>
      <c r="J165" s="35"/>
      <c r="K165" s="35"/>
    </row>
    <row r="166">
      <c r="A166" s="33"/>
      <c r="G166" s="33" t="str">
        <f>IFERROR(__xludf.DUMMYFUNCTION("IF(OR(A166="""",F166=""""),"""",TEXT(WORKDAY(DATE(VALUE(LEFT(TO_TEXT(A166),4)),VALUE(MID(TO_TEXT(A166),5,2)),VALUE(RIGHT(TO_TEXT(A166),2))),F166),""yyyymmdd""))"),"")</f>
        <v/>
      </c>
      <c r="H166" s="34" t="str">
        <f t="shared" si="1"/>
        <v/>
      </c>
      <c r="I166" s="35"/>
      <c r="J166" s="35"/>
      <c r="K166" s="35"/>
    </row>
    <row r="167">
      <c r="A167" s="33"/>
      <c r="G167" s="33" t="str">
        <f>IFERROR(__xludf.DUMMYFUNCTION("IF(OR(A167="""",F167=""""),"""",TEXT(WORKDAY(DATE(VALUE(LEFT(TO_TEXT(A167),4)),VALUE(MID(TO_TEXT(A167),5,2)),VALUE(RIGHT(TO_TEXT(A167),2))),F167),""yyyymmdd""))"),"")</f>
        <v/>
      </c>
      <c r="H167" s="34" t="str">
        <f t="shared" si="1"/>
        <v/>
      </c>
      <c r="I167" s="35"/>
      <c r="J167" s="35"/>
      <c r="K167" s="35"/>
    </row>
    <row r="168">
      <c r="A168" s="33"/>
      <c r="G168" s="33" t="str">
        <f>IFERROR(__xludf.DUMMYFUNCTION("IF(OR(A168="""",F168=""""),"""",TEXT(WORKDAY(DATE(VALUE(LEFT(TO_TEXT(A168),4)),VALUE(MID(TO_TEXT(A168),5,2)),VALUE(RIGHT(TO_TEXT(A168),2))),F168),""yyyymmdd""))"),"")</f>
        <v/>
      </c>
      <c r="H168" s="34" t="str">
        <f t="shared" si="1"/>
        <v/>
      </c>
      <c r="I168" s="35"/>
      <c r="J168" s="35"/>
      <c r="K168" s="35"/>
    </row>
    <row r="169">
      <c r="A169" s="33"/>
      <c r="G169" s="33" t="str">
        <f>IFERROR(__xludf.DUMMYFUNCTION("IF(OR(A169="""",F169=""""),"""",TEXT(WORKDAY(DATE(VALUE(LEFT(TO_TEXT(A169),4)),VALUE(MID(TO_TEXT(A169),5,2)),VALUE(RIGHT(TO_TEXT(A169),2))),F169),""yyyymmdd""))"),"")</f>
        <v/>
      </c>
      <c r="H169" s="34" t="str">
        <f t="shared" si="1"/>
        <v/>
      </c>
      <c r="I169" s="35"/>
      <c r="J169" s="35"/>
      <c r="K169" s="35"/>
    </row>
    <row r="170">
      <c r="A170" s="33"/>
      <c r="G170" s="33" t="str">
        <f>IFERROR(__xludf.DUMMYFUNCTION("IF(OR(A170="""",F170=""""),"""",TEXT(WORKDAY(DATE(VALUE(LEFT(TO_TEXT(A170),4)),VALUE(MID(TO_TEXT(A170),5,2)),VALUE(RIGHT(TO_TEXT(A170),2))),F170),""yyyymmdd""))"),"")</f>
        <v/>
      </c>
      <c r="H170" s="34" t="str">
        <f t="shared" si="1"/>
        <v/>
      </c>
      <c r="I170" s="35"/>
      <c r="J170" s="35"/>
      <c r="K170" s="35"/>
    </row>
    <row r="171">
      <c r="A171" s="33"/>
      <c r="G171" s="33" t="str">
        <f>IFERROR(__xludf.DUMMYFUNCTION("IF(OR(A171="""",F171=""""),"""",TEXT(WORKDAY(DATE(VALUE(LEFT(TO_TEXT(A171),4)),VALUE(MID(TO_TEXT(A171),5,2)),VALUE(RIGHT(TO_TEXT(A171),2))),F171),""yyyymmdd""))"),"")</f>
        <v/>
      </c>
      <c r="H171" s="34" t="str">
        <f t="shared" si="1"/>
        <v/>
      </c>
      <c r="I171" s="35"/>
      <c r="J171" s="35"/>
      <c r="K171" s="35"/>
    </row>
    <row r="172">
      <c r="A172" s="33"/>
      <c r="G172" s="33" t="str">
        <f>IFERROR(__xludf.DUMMYFUNCTION("IF(OR(A172="""",F172=""""),"""",TEXT(WORKDAY(DATE(VALUE(LEFT(TO_TEXT(A172),4)),VALUE(MID(TO_TEXT(A172),5,2)),VALUE(RIGHT(TO_TEXT(A172),2))),F172),""yyyymmdd""))"),"")</f>
        <v/>
      </c>
      <c r="H172" s="34" t="str">
        <f t="shared" si="1"/>
        <v/>
      </c>
      <c r="I172" s="35"/>
      <c r="J172" s="35"/>
      <c r="K172" s="35"/>
    </row>
    <row r="173">
      <c r="A173" s="33"/>
      <c r="G173" s="33" t="str">
        <f>IFERROR(__xludf.DUMMYFUNCTION("IF(OR(A173="""",F173=""""),"""",TEXT(WORKDAY(DATE(VALUE(LEFT(TO_TEXT(A173),4)),VALUE(MID(TO_TEXT(A173),5,2)),VALUE(RIGHT(TO_TEXT(A173),2))),F173),""yyyymmdd""))"),"")</f>
        <v/>
      </c>
      <c r="H173" s="34" t="str">
        <f t="shared" si="1"/>
        <v/>
      </c>
      <c r="I173" s="35"/>
      <c r="J173" s="35"/>
      <c r="K173" s="35"/>
    </row>
    <row r="174">
      <c r="A174" s="33"/>
      <c r="G174" s="33" t="str">
        <f>IFERROR(__xludf.DUMMYFUNCTION("IF(OR(A174="""",F174=""""),"""",TEXT(WORKDAY(DATE(VALUE(LEFT(TO_TEXT(A174),4)),VALUE(MID(TO_TEXT(A174),5,2)),VALUE(RIGHT(TO_TEXT(A174),2))),F174),""yyyymmdd""))"),"")</f>
        <v/>
      </c>
      <c r="H174" s="34" t="str">
        <f t="shared" si="1"/>
        <v/>
      </c>
      <c r="I174" s="35"/>
      <c r="J174" s="35"/>
      <c r="K174" s="35"/>
    </row>
    <row r="175">
      <c r="A175" s="33"/>
      <c r="G175" s="33" t="str">
        <f>IFERROR(__xludf.DUMMYFUNCTION("IF(OR(A175="""",F175=""""),"""",TEXT(WORKDAY(DATE(VALUE(LEFT(TO_TEXT(A175),4)),VALUE(MID(TO_TEXT(A175),5,2)),VALUE(RIGHT(TO_TEXT(A175),2))),F175),""yyyymmdd""))"),"")</f>
        <v/>
      </c>
      <c r="H175" s="34" t="str">
        <f t="shared" si="1"/>
        <v/>
      </c>
      <c r="I175" s="35"/>
      <c r="J175" s="35"/>
      <c r="K175" s="35"/>
    </row>
    <row r="176">
      <c r="A176" s="33"/>
      <c r="G176" s="33" t="str">
        <f>IFERROR(__xludf.DUMMYFUNCTION("IF(OR(A176="""",F176=""""),"""",TEXT(WORKDAY(DATE(VALUE(LEFT(TO_TEXT(A176),4)),VALUE(MID(TO_TEXT(A176),5,2)),VALUE(RIGHT(TO_TEXT(A176),2))),F176),""yyyymmdd""))"),"")</f>
        <v/>
      </c>
      <c r="H176" s="34" t="str">
        <f t="shared" si="1"/>
        <v/>
      </c>
      <c r="I176" s="35"/>
      <c r="J176" s="35"/>
      <c r="K176" s="35"/>
    </row>
    <row r="177">
      <c r="A177" s="33"/>
      <c r="G177" s="33" t="str">
        <f>IFERROR(__xludf.DUMMYFUNCTION("IF(OR(A177="""",F177=""""),"""",TEXT(WORKDAY(DATE(VALUE(LEFT(TO_TEXT(A177),4)),VALUE(MID(TO_TEXT(A177),5,2)),VALUE(RIGHT(TO_TEXT(A177),2))),F177),""yyyymmdd""))"),"")</f>
        <v/>
      </c>
      <c r="H177" s="34" t="str">
        <f t="shared" si="1"/>
        <v/>
      </c>
      <c r="I177" s="35"/>
      <c r="J177" s="35"/>
      <c r="K177" s="35"/>
    </row>
    <row r="178">
      <c r="A178" s="33"/>
      <c r="G178" s="33" t="str">
        <f>IFERROR(__xludf.DUMMYFUNCTION("IF(OR(A178="""",F178=""""),"""",TEXT(WORKDAY(DATE(VALUE(LEFT(TO_TEXT(A178),4)),VALUE(MID(TO_TEXT(A178),5,2)),VALUE(RIGHT(TO_TEXT(A178),2))),F178),""yyyymmdd""))"),"")</f>
        <v/>
      </c>
      <c r="H178" s="34" t="str">
        <f t="shared" si="1"/>
        <v/>
      </c>
      <c r="I178" s="35"/>
      <c r="J178" s="35"/>
      <c r="K178" s="35"/>
    </row>
    <row r="179">
      <c r="A179" s="33"/>
      <c r="G179" s="33" t="str">
        <f>IFERROR(__xludf.DUMMYFUNCTION("IF(OR(A179="""",F179=""""),"""",TEXT(WORKDAY(DATE(VALUE(LEFT(TO_TEXT(A179),4)),VALUE(MID(TO_TEXT(A179),5,2)),VALUE(RIGHT(TO_TEXT(A179),2))),F179),""yyyymmdd""))"),"")</f>
        <v/>
      </c>
      <c r="H179" s="34" t="str">
        <f t="shared" si="1"/>
        <v/>
      </c>
      <c r="I179" s="35"/>
      <c r="J179" s="35"/>
      <c r="K179" s="35"/>
    </row>
    <row r="180">
      <c r="A180" s="33"/>
      <c r="G180" s="33" t="str">
        <f>IFERROR(__xludf.DUMMYFUNCTION("IF(OR(A180="""",F180=""""),"""",TEXT(WORKDAY(DATE(VALUE(LEFT(TO_TEXT(A180),4)),VALUE(MID(TO_TEXT(A180),5,2)),VALUE(RIGHT(TO_TEXT(A180),2))),F180),""yyyymmdd""))"),"")</f>
        <v/>
      </c>
      <c r="H180" s="34" t="str">
        <f t="shared" si="1"/>
        <v/>
      </c>
      <c r="I180" s="35"/>
      <c r="J180" s="35"/>
      <c r="K180" s="35"/>
    </row>
    <row r="181">
      <c r="A181" s="33"/>
      <c r="G181" s="33" t="str">
        <f>IFERROR(__xludf.DUMMYFUNCTION("IF(OR(A181="""",F181=""""),"""",TEXT(WORKDAY(DATE(VALUE(LEFT(TO_TEXT(A181),4)),VALUE(MID(TO_TEXT(A181),5,2)),VALUE(RIGHT(TO_TEXT(A181),2))),F181),""yyyymmdd""))"),"")</f>
        <v/>
      </c>
      <c r="H181" s="34" t="str">
        <f t="shared" si="1"/>
        <v/>
      </c>
      <c r="I181" s="35"/>
      <c r="J181" s="35"/>
      <c r="K181" s="35"/>
    </row>
    <row r="182">
      <c r="A182" s="33"/>
      <c r="G182" s="33" t="str">
        <f>IFERROR(__xludf.DUMMYFUNCTION("IF(OR(A182="""",F182=""""),"""",TEXT(WORKDAY(DATE(VALUE(LEFT(TO_TEXT(A182),4)),VALUE(MID(TO_TEXT(A182),5,2)),VALUE(RIGHT(TO_TEXT(A182),2))),F182),""yyyymmdd""))"),"")</f>
        <v/>
      </c>
      <c r="H182" s="34" t="str">
        <f t="shared" si="1"/>
        <v/>
      </c>
      <c r="I182" s="35"/>
      <c r="J182" s="35"/>
      <c r="K182" s="35"/>
    </row>
    <row r="183">
      <c r="A183" s="33"/>
      <c r="G183" s="33" t="str">
        <f>IFERROR(__xludf.DUMMYFUNCTION("IF(OR(A183="""",F183=""""),"""",TEXT(WORKDAY(DATE(VALUE(LEFT(TO_TEXT(A183),4)),VALUE(MID(TO_TEXT(A183),5,2)),VALUE(RIGHT(TO_TEXT(A183),2))),F183),""yyyymmdd""))"),"")</f>
        <v/>
      </c>
      <c r="H183" s="34" t="str">
        <f t="shared" si="1"/>
        <v/>
      </c>
      <c r="I183" s="35"/>
      <c r="J183" s="35"/>
      <c r="K183" s="35"/>
    </row>
    <row r="184">
      <c r="A184" s="33"/>
      <c r="G184" s="33" t="str">
        <f>IFERROR(__xludf.DUMMYFUNCTION("IF(OR(A184="""",F184=""""),"""",TEXT(WORKDAY(DATE(VALUE(LEFT(TO_TEXT(A184),4)),VALUE(MID(TO_TEXT(A184),5,2)),VALUE(RIGHT(TO_TEXT(A184),2))),F184),""yyyymmdd""))"),"")</f>
        <v/>
      </c>
      <c r="H184" s="34" t="str">
        <f t="shared" si="1"/>
        <v/>
      </c>
      <c r="I184" s="35"/>
      <c r="J184" s="35"/>
      <c r="K184" s="35"/>
    </row>
    <row r="185">
      <c r="A185" s="33"/>
      <c r="G185" s="33" t="str">
        <f>IFERROR(__xludf.DUMMYFUNCTION("IF(OR(A185="""",F185=""""),"""",TEXT(WORKDAY(DATE(VALUE(LEFT(TO_TEXT(A185),4)),VALUE(MID(TO_TEXT(A185),5,2)),VALUE(RIGHT(TO_TEXT(A185),2))),F185),""yyyymmdd""))"),"")</f>
        <v/>
      </c>
      <c r="H185" s="34" t="str">
        <f t="shared" si="1"/>
        <v/>
      </c>
      <c r="I185" s="35"/>
      <c r="J185" s="35"/>
      <c r="K185" s="35"/>
    </row>
    <row r="186">
      <c r="A186" s="33"/>
      <c r="G186" s="33" t="str">
        <f>IFERROR(__xludf.DUMMYFUNCTION("IF(OR(A186="""",F186=""""),"""",TEXT(WORKDAY(DATE(VALUE(LEFT(TO_TEXT(A186),4)),VALUE(MID(TO_TEXT(A186),5,2)),VALUE(RIGHT(TO_TEXT(A186),2))),F186),""yyyymmdd""))"),"")</f>
        <v/>
      </c>
      <c r="H186" s="34" t="str">
        <f t="shared" si="1"/>
        <v/>
      </c>
      <c r="I186" s="35"/>
      <c r="J186" s="35"/>
      <c r="K186" s="35"/>
    </row>
    <row r="187">
      <c r="A187" s="33"/>
      <c r="G187" s="33" t="str">
        <f>IFERROR(__xludf.DUMMYFUNCTION("IF(OR(A187="""",F187=""""),"""",TEXT(WORKDAY(DATE(VALUE(LEFT(TO_TEXT(A187),4)),VALUE(MID(TO_TEXT(A187),5,2)),VALUE(RIGHT(TO_TEXT(A187),2))),F187),""yyyymmdd""))"),"")</f>
        <v/>
      </c>
      <c r="H187" s="34" t="str">
        <f t="shared" si="1"/>
        <v/>
      </c>
      <c r="I187" s="35"/>
      <c r="J187" s="35"/>
      <c r="K187" s="35"/>
    </row>
    <row r="188">
      <c r="A188" s="33"/>
      <c r="G188" s="33" t="str">
        <f>IFERROR(__xludf.DUMMYFUNCTION("IF(OR(A188="""",F188=""""),"""",TEXT(WORKDAY(DATE(VALUE(LEFT(TO_TEXT(A188),4)),VALUE(MID(TO_TEXT(A188),5,2)),VALUE(RIGHT(TO_TEXT(A188),2))),F188),""yyyymmdd""))"),"")</f>
        <v/>
      </c>
      <c r="H188" s="34" t="str">
        <f t="shared" si="1"/>
        <v/>
      </c>
      <c r="I188" s="35"/>
      <c r="J188" s="35"/>
      <c r="K188" s="35"/>
    </row>
    <row r="189">
      <c r="A189" s="33"/>
      <c r="G189" s="33" t="str">
        <f>IFERROR(__xludf.DUMMYFUNCTION("IF(OR(A189="""",F189=""""),"""",TEXT(WORKDAY(DATE(VALUE(LEFT(TO_TEXT(A189),4)),VALUE(MID(TO_TEXT(A189),5,2)),VALUE(RIGHT(TO_TEXT(A189),2))),F189),""yyyymmdd""))"),"")</f>
        <v/>
      </c>
      <c r="H189" s="34" t="str">
        <f t="shared" si="1"/>
        <v/>
      </c>
      <c r="I189" s="35"/>
      <c r="J189" s="35"/>
      <c r="K189" s="35"/>
    </row>
    <row r="190">
      <c r="A190" s="33"/>
      <c r="G190" s="33" t="str">
        <f>IFERROR(__xludf.DUMMYFUNCTION("IF(OR(A190="""",F190=""""),"""",TEXT(WORKDAY(DATE(VALUE(LEFT(TO_TEXT(A190),4)),VALUE(MID(TO_TEXT(A190),5,2)),VALUE(RIGHT(TO_TEXT(A190),2))),F190),""yyyymmdd""))"),"")</f>
        <v/>
      </c>
      <c r="H190" s="34" t="str">
        <f t="shared" si="1"/>
        <v/>
      </c>
      <c r="I190" s="35"/>
      <c r="J190" s="35"/>
      <c r="K190" s="35"/>
    </row>
    <row r="191">
      <c r="A191" s="33"/>
      <c r="G191" s="33" t="str">
        <f>IFERROR(__xludf.DUMMYFUNCTION("IF(OR(A191="""",F191=""""),"""",TEXT(WORKDAY(DATE(VALUE(LEFT(TO_TEXT(A191),4)),VALUE(MID(TO_TEXT(A191),5,2)),VALUE(RIGHT(TO_TEXT(A191),2))),F191),""yyyymmdd""))"),"")</f>
        <v/>
      </c>
      <c r="H191" s="34" t="str">
        <f t="shared" si="1"/>
        <v/>
      </c>
      <c r="I191" s="35"/>
      <c r="J191" s="35"/>
      <c r="K191" s="35"/>
    </row>
    <row r="192">
      <c r="A192" s="33"/>
      <c r="G192" s="33" t="str">
        <f>IFERROR(__xludf.DUMMYFUNCTION("IF(OR(A192="""",F192=""""),"""",TEXT(WORKDAY(DATE(VALUE(LEFT(TO_TEXT(A192),4)),VALUE(MID(TO_TEXT(A192),5,2)),VALUE(RIGHT(TO_TEXT(A192),2))),F192),""yyyymmdd""))"),"")</f>
        <v/>
      </c>
      <c r="H192" s="34" t="str">
        <f t="shared" si="1"/>
        <v/>
      </c>
      <c r="I192" s="35"/>
      <c r="J192" s="35"/>
      <c r="K192" s="35"/>
    </row>
    <row r="193">
      <c r="A193" s="33"/>
      <c r="G193" s="33" t="str">
        <f>IFERROR(__xludf.DUMMYFUNCTION("IF(OR(A193="""",F193=""""),"""",TEXT(WORKDAY(DATE(VALUE(LEFT(TO_TEXT(A193),4)),VALUE(MID(TO_TEXT(A193),5,2)),VALUE(RIGHT(TO_TEXT(A193),2))),F193),""yyyymmdd""))"),"")</f>
        <v/>
      </c>
      <c r="H193" s="34" t="str">
        <f t="shared" si="1"/>
        <v/>
      </c>
      <c r="I193" s="35"/>
      <c r="J193" s="35"/>
      <c r="K193" s="35"/>
    </row>
    <row r="194">
      <c r="A194" s="33"/>
      <c r="G194" s="33" t="str">
        <f>IFERROR(__xludf.DUMMYFUNCTION("IF(OR(A194="""",F194=""""),"""",TEXT(WORKDAY(DATE(VALUE(LEFT(TO_TEXT(A194),4)),VALUE(MID(TO_TEXT(A194),5,2)),VALUE(RIGHT(TO_TEXT(A194),2))),F194),""yyyymmdd""))"),"")</f>
        <v/>
      </c>
      <c r="H194" s="34" t="str">
        <f t="shared" si="1"/>
        <v/>
      </c>
      <c r="I194" s="35"/>
      <c r="J194" s="35"/>
      <c r="K194" s="35"/>
    </row>
    <row r="195">
      <c r="A195" s="33"/>
      <c r="G195" s="33" t="str">
        <f>IFERROR(__xludf.DUMMYFUNCTION("IF(OR(A195="""",F195=""""),"""",TEXT(WORKDAY(DATE(VALUE(LEFT(TO_TEXT(A195),4)),VALUE(MID(TO_TEXT(A195),5,2)),VALUE(RIGHT(TO_TEXT(A195),2))),F195),""yyyymmdd""))"),"")</f>
        <v/>
      </c>
      <c r="H195" s="34" t="str">
        <f t="shared" si="1"/>
        <v/>
      </c>
      <c r="I195" s="35"/>
      <c r="J195" s="35"/>
      <c r="K195" s="35"/>
    </row>
    <row r="196">
      <c r="A196" s="33"/>
      <c r="G196" s="33" t="str">
        <f>IFERROR(__xludf.DUMMYFUNCTION("IF(OR(A196="""",F196=""""),"""",TEXT(WORKDAY(DATE(VALUE(LEFT(TO_TEXT(A196),4)),VALUE(MID(TO_TEXT(A196),5,2)),VALUE(RIGHT(TO_TEXT(A196),2))),F196),""yyyymmdd""))"),"")</f>
        <v/>
      </c>
      <c r="H196" s="34" t="str">
        <f t="shared" si="1"/>
        <v/>
      </c>
      <c r="I196" s="35"/>
      <c r="J196" s="35"/>
      <c r="K196" s="35"/>
    </row>
    <row r="197">
      <c r="A197" s="33"/>
      <c r="G197" s="33" t="str">
        <f>IFERROR(__xludf.DUMMYFUNCTION("IF(OR(A197="""",F197=""""),"""",TEXT(WORKDAY(DATE(VALUE(LEFT(TO_TEXT(A197),4)),VALUE(MID(TO_TEXT(A197),5,2)),VALUE(RIGHT(TO_TEXT(A197),2))),F197),""yyyymmdd""))"),"")</f>
        <v/>
      </c>
      <c r="H197" s="34" t="str">
        <f t="shared" si="1"/>
        <v/>
      </c>
      <c r="I197" s="35"/>
      <c r="J197" s="35"/>
      <c r="K197" s="35"/>
    </row>
    <row r="198">
      <c r="A198" s="33"/>
      <c r="G198" s="33" t="str">
        <f>IFERROR(__xludf.DUMMYFUNCTION("IF(OR(A198="""",F198=""""),"""",TEXT(WORKDAY(DATE(VALUE(LEFT(TO_TEXT(A198),4)),VALUE(MID(TO_TEXT(A198),5,2)),VALUE(RIGHT(TO_TEXT(A198),2))),F198),""yyyymmdd""))"),"")</f>
        <v/>
      </c>
      <c r="H198" s="34" t="str">
        <f t="shared" si="1"/>
        <v/>
      </c>
      <c r="I198" s="35"/>
      <c r="J198" s="35"/>
      <c r="K198" s="35"/>
    </row>
    <row r="199">
      <c r="A199" s="33"/>
      <c r="G199" s="33" t="str">
        <f>IFERROR(__xludf.DUMMYFUNCTION("IF(OR(A199="""",F199=""""),"""",TEXT(WORKDAY(DATE(VALUE(LEFT(TO_TEXT(A199),4)),VALUE(MID(TO_TEXT(A199),5,2)),VALUE(RIGHT(TO_TEXT(A199),2))),F199),""yyyymmdd""))"),"")</f>
        <v/>
      </c>
      <c r="H199" s="34" t="str">
        <f t="shared" si="1"/>
        <v/>
      </c>
      <c r="I199" s="35"/>
      <c r="J199" s="35"/>
      <c r="K199" s="35"/>
    </row>
    <row r="200">
      <c r="A200" s="33"/>
      <c r="G200" s="33" t="str">
        <f>IFERROR(__xludf.DUMMYFUNCTION("IF(OR(A200="""",F200=""""),"""",TEXT(WORKDAY(DATE(VALUE(LEFT(TO_TEXT(A200),4)),VALUE(MID(TO_TEXT(A200),5,2)),VALUE(RIGHT(TO_TEXT(A200),2))),F200),""yyyymmdd""))"),"")</f>
        <v/>
      </c>
      <c r="H200" s="34" t="str">
        <f t="shared" si="1"/>
        <v/>
      </c>
      <c r="I200" s="35"/>
      <c r="J200" s="35"/>
      <c r="K200" s="35"/>
    </row>
    <row r="201">
      <c r="A201" s="33"/>
      <c r="G201" s="33" t="str">
        <f>IFERROR(__xludf.DUMMYFUNCTION("IF(OR(A201="""",F201=""""),"""",TEXT(WORKDAY(DATE(VALUE(LEFT(TO_TEXT(A201),4)),VALUE(MID(TO_TEXT(A201),5,2)),VALUE(RIGHT(TO_TEXT(A201),2))),F201),""yyyymmdd""))"),"")</f>
        <v/>
      </c>
      <c r="H201" s="34" t="str">
        <f t="shared" si="1"/>
        <v/>
      </c>
      <c r="I201" s="35"/>
      <c r="J201" s="35"/>
      <c r="K201" s="35"/>
    </row>
    <row r="202">
      <c r="A202" s="33"/>
      <c r="G202" s="33" t="str">
        <f>IFERROR(__xludf.DUMMYFUNCTION("IF(OR(A202="""",F202=""""),"""",TEXT(WORKDAY(DATE(VALUE(LEFT(TO_TEXT(A202),4)),VALUE(MID(TO_TEXT(A202),5,2)),VALUE(RIGHT(TO_TEXT(A202),2))),F202),""yyyymmdd""))"),"")</f>
        <v/>
      </c>
      <c r="H202" s="34" t="str">
        <f t="shared" si="1"/>
        <v/>
      </c>
      <c r="I202" s="35"/>
      <c r="J202" s="35"/>
      <c r="K202" s="35"/>
    </row>
    <row r="203">
      <c r="A203" s="33"/>
      <c r="G203" s="33" t="str">
        <f>IFERROR(__xludf.DUMMYFUNCTION("IF(OR(A203="""",F203=""""),"""",TEXT(WORKDAY(DATE(VALUE(LEFT(TO_TEXT(A203),4)),VALUE(MID(TO_TEXT(A203),5,2)),VALUE(RIGHT(TO_TEXT(A203),2))),F203),""yyyymmdd""))"),"")</f>
        <v/>
      </c>
      <c r="H203" s="34" t="str">
        <f t="shared" si="1"/>
        <v/>
      </c>
      <c r="I203" s="35"/>
      <c r="J203" s="35"/>
      <c r="K203" s="35"/>
    </row>
    <row r="204">
      <c r="A204" s="33"/>
      <c r="G204" s="33" t="str">
        <f>IFERROR(__xludf.DUMMYFUNCTION("IF(OR(A204="""",F204=""""),"""",TEXT(WORKDAY(DATE(VALUE(LEFT(TO_TEXT(A204),4)),VALUE(MID(TO_TEXT(A204),5,2)),VALUE(RIGHT(TO_TEXT(A204),2))),F204),""yyyymmdd""))"),"")</f>
        <v/>
      </c>
      <c r="H204" s="34" t="str">
        <f t="shared" si="1"/>
        <v/>
      </c>
      <c r="I204" s="35"/>
      <c r="J204" s="35"/>
      <c r="K204" s="35"/>
    </row>
    <row r="205">
      <c r="A205" s="33"/>
      <c r="G205" s="33" t="str">
        <f>IFERROR(__xludf.DUMMYFUNCTION("IF(OR(A205="""",F205=""""),"""",TEXT(WORKDAY(DATE(VALUE(LEFT(TO_TEXT(A205),4)),VALUE(MID(TO_TEXT(A205),5,2)),VALUE(RIGHT(TO_TEXT(A205),2))),F205),""yyyymmdd""))"),"")</f>
        <v/>
      </c>
      <c r="H205" s="34" t="str">
        <f t="shared" si="1"/>
        <v/>
      </c>
      <c r="I205" s="35"/>
      <c r="J205" s="35"/>
      <c r="K205" s="35"/>
    </row>
    <row r="206">
      <c r="A206" s="33"/>
      <c r="G206" s="33" t="str">
        <f>IFERROR(__xludf.DUMMYFUNCTION("IF(OR(A206="""",F206=""""),"""",TEXT(WORKDAY(DATE(VALUE(LEFT(TO_TEXT(A206),4)),VALUE(MID(TO_TEXT(A206),5,2)),VALUE(RIGHT(TO_TEXT(A206),2))),F206),""yyyymmdd""))"),"")</f>
        <v/>
      </c>
      <c r="H206" s="34" t="str">
        <f t="shared" si="1"/>
        <v/>
      </c>
      <c r="I206" s="35"/>
      <c r="J206" s="35"/>
      <c r="K206" s="35"/>
    </row>
    <row r="207">
      <c r="A207" s="33"/>
      <c r="G207" s="33" t="str">
        <f>IFERROR(__xludf.DUMMYFUNCTION("IF(OR(A207="""",F207=""""),"""",TEXT(WORKDAY(DATE(VALUE(LEFT(TO_TEXT(A207),4)),VALUE(MID(TO_TEXT(A207),5,2)),VALUE(RIGHT(TO_TEXT(A207),2))),F207),""yyyymmdd""))"),"")</f>
        <v/>
      </c>
      <c r="H207" s="34" t="str">
        <f t="shared" si="1"/>
        <v/>
      </c>
      <c r="I207" s="35"/>
      <c r="J207" s="35"/>
      <c r="K207" s="35"/>
    </row>
    <row r="208">
      <c r="A208" s="33"/>
      <c r="G208" s="33" t="str">
        <f>IFERROR(__xludf.DUMMYFUNCTION("IF(OR(A208="""",F208=""""),"""",TEXT(WORKDAY(DATE(VALUE(LEFT(TO_TEXT(A208),4)),VALUE(MID(TO_TEXT(A208),5,2)),VALUE(RIGHT(TO_TEXT(A208),2))),F208),""yyyymmdd""))"),"")</f>
        <v/>
      </c>
      <c r="H208" s="34" t="str">
        <f t="shared" si="1"/>
        <v/>
      </c>
      <c r="I208" s="35"/>
      <c r="J208" s="35"/>
      <c r="K208" s="35"/>
    </row>
    <row r="209">
      <c r="A209" s="33"/>
      <c r="G209" s="33" t="str">
        <f>IFERROR(__xludf.DUMMYFUNCTION("IF(OR(A209="""",F209=""""),"""",TEXT(WORKDAY(DATE(VALUE(LEFT(TO_TEXT(A209),4)),VALUE(MID(TO_TEXT(A209),5,2)),VALUE(RIGHT(TO_TEXT(A209),2))),F209),""yyyymmdd""))"),"")</f>
        <v/>
      </c>
      <c r="H209" s="34" t="str">
        <f t="shared" si="1"/>
        <v/>
      </c>
      <c r="I209" s="35"/>
      <c r="J209" s="35"/>
      <c r="K209" s="35"/>
    </row>
    <row r="210">
      <c r="A210" s="33"/>
      <c r="G210" s="33" t="str">
        <f>IFERROR(__xludf.DUMMYFUNCTION("IF(OR(A210="""",F210=""""),"""",TEXT(WORKDAY(DATE(VALUE(LEFT(TO_TEXT(A210),4)),VALUE(MID(TO_TEXT(A210),5,2)),VALUE(RIGHT(TO_TEXT(A210),2))),F210),""yyyymmdd""))"),"")</f>
        <v/>
      </c>
      <c r="H210" s="34" t="str">
        <f t="shared" si="1"/>
        <v/>
      </c>
      <c r="I210" s="35"/>
      <c r="J210" s="35"/>
      <c r="K210" s="35"/>
    </row>
    <row r="211">
      <c r="A211" s="33"/>
      <c r="G211" s="33" t="str">
        <f>IFERROR(__xludf.DUMMYFUNCTION("IF(OR(A211="""",F211=""""),"""",TEXT(WORKDAY(DATE(VALUE(LEFT(TO_TEXT(A211),4)),VALUE(MID(TO_TEXT(A211),5,2)),VALUE(RIGHT(TO_TEXT(A211),2))),F211),""yyyymmdd""))"),"")</f>
        <v/>
      </c>
      <c r="H211" s="34" t="str">
        <f t="shared" si="1"/>
        <v/>
      </c>
      <c r="I211" s="35"/>
      <c r="J211" s="35"/>
      <c r="K211" s="35"/>
    </row>
    <row r="212">
      <c r="A212" s="33"/>
      <c r="G212" s="33" t="str">
        <f>IFERROR(__xludf.DUMMYFUNCTION("IF(OR(A212="""",F212=""""),"""",TEXT(WORKDAY(DATE(VALUE(LEFT(TO_TEXT(A212),4)),VALUE(MID(TO_TEXT(A212),5,2)),VALUE(RIGHT(TO_TEXT(A212),2))),F212),""yyyymmdd""))"),"")</f>
        <v/>
      </c>
      <c r="H212" s="34" t="str">
        <f t="shared" si="1"/>
        <v/>
      </c>
      <c r="I212" s="35"/>
      <c r="J212" s="35"/>
      <c r="K212" s="35"/>
    </row>
    <row r="213">
      <c r="A213" s="33"/>
      <c r="G213" s="33" t="str">
        <f>IFERROR(__xludf.DUMMYFUNCTION("IF(OR(A213="""",F213=""""),"""",TEXT(WORKDAY(DATE(VALUE(LEFT(TO_TEXT(A213),4)),VALUE(MID(TO_TEXT(A213),5,2)),VALUE(RIGHT(TO_TEXT(A213),2))),F213),""yyyymmdd""))"),"")</f>
        <v/>
      </c>
      <c r="H213" s="34" t="str">
        <f t="shared" si="1"/>
        <v/>
      </c>
      <c r="I213" s="35"/>
      <c r="J213" s="35"/>
      <c r="K213" s="35"/>
    </row>
    <row r="214">
      <c r="A214" s="33"/>
      <c r="G214" s="33" t="str">
        <f>IFERROR(__xludf.DUMMYFUNCTION("IF(OR(A214="""",F214=""""),"""",TEXT(WORKDAY(DATE(VALUE(LEFT(TO_TEXT(A214),4)),VALUE(MID(TO_TEXT(A214),5,2)),VALUE(RIGHT(TO_TEXT(A214),2))),F214),""yyyymmdd""))"),"")</f>
        <v/>
      </c>
      <c r="H214" s="34" t="str">
        <f t="shared" si="1"/>
        <v/>
      </c>
      <c r="I214" s="35"/>
      <c r="J214" s="35"/>
      <c r="K214" s="35"/>
    </row>
    <row r="215">
      <c r="A215" s="33"/>
      <c r="G215" s="33" t="str">
        <f>IFERROR(__xludf.DUMMYFUNCTION("IF(OR(A215="""",F215=""""),"""",TEXT(WORKDAY(DATE(VALUE(LEFT(TO_TEXT(A215),4)),VALUE(MID(TO_TEXT(A215),5,2)),VALUE(RIGHT(TO_TEXT(A215),2))),F215),""yyyymmdd""))"),"")</f>
        <v/>
      </c>
      <c r="H215" s="34" t="str">
        <f t="shared" si="1"/>
        <v/>
      </c>
      <c r="I215" s="35"/>
      <c r="J215" s="35"/>
      <c r="K215" s="35"/>
    </row>
    <row r="216">
      <c r="A216" s="33"/>
      <c r="G216" s="33" t="str">
        <f>IFERROR(__xludf.DUMMYFUNCTION("IF(OR(A216="""",F216=""""),"""",TEXT(WORKDAY(DATE(VALUE(LEFT(TO_TEXT(A216),4)),VALUE(MID(TO_TEXT(A216),5,2)),VALUE(RIGHT(TO_TEXT(A216),2))),F216),""yyyymmdd""))"),"")</f>
        <v/>
      </c>
      <c r="H216" s="34" t="str">
        <f t="shared" si="1"/>
        <v/>
      </c>
      <c r="I216" s="35"/>
      <c r="J216" s="35"/>
      <c r="K216" s="35"/>
    </row>
    <row r="217">
      <c r="A217" s="33"/>
      <c r="G217" s="33" t="str">
        <f>IFERROR(__xludf.DUMMYFUNCTION("IF(OR(A217="""",F217=""""),"""",TEXT(WORKDAY(DATE(VALUE(LEFT(TO_TEXT(A217),4)),VALUE(MID(TO_TEXT(A217),5,2)),VALUE(RIGHT(TO_TEXT(A217),2))),F217),""yyyymmdd""))"),"")</f>
        <v/>
      </c>
      <c r="H217" s="34" t="str">
        <f t="shared" si="1"/>
        <v/>
      </c>
      <c r="I217" s="35"/>
      <c r="J217" s="35"/>
      <c r="K217" s="35"/>
    </row>
    <row r="218">
      <c r="A218" s="33"/>
      <c r="G218" s="33" t="str">
        <f>IFERROR(__xludf.DUMMYFUNCTION("IF(OR(A218="""",F218=""""),"""",TEXT(WORKDAY(DATE(VALUE(LEFT(TO_TEXT(A218),4)),VALUE(MID(TO_TEXT(A218),5,2)),VALUE(RIGHT(TO_TEXT(A218),2))),F218),""yyyymmdd""))"),"")</f>
        <v/>
      </c>
      <c r="H218" s="34" t="str">
        <f t="shared" si="1"/>
        <v/>
      </c>
      <c r="I218" s="35"/>
      <c r="J218" s="35"/>
      <c r="K218" s="35"/>
    </row>
    <row r="219">
      <c r="A219" s="33"/>
      <c r="G219" s="33" t="str">
        <f>IFERROR(__xludf.DUMMYFUNCTION("IF(OR(A219="""",F219=""""),"""",TEXT(WORKDAY(DATE(VALUE(LEFT(TO_TEXT(A219),4)),VALUE(MID(TO_TEXT(A219),5,2)),VALUE(RIGHT(TO_TEXT(A219),2))),F219),""yyyymmdd""))"),"")</f>
        <v/>
      </c>
      <c r="H219" s="34" t="str">
        <f t="shared" si="1"/>
        <v/>
      </c>
      <c r="I219" s="35"/>
      <c r="J219" s="35"/>
      <c r="K219" s="35"/>
    </row>
    <row r="220">
      <c r="A220" s="33"/>
      <c r="G220" s="33" t="str">
        <f>IFERROR(__xludf.DUMMYFUNCTION("IF(OR(A220="""",F220=""""),"""",TEXT(WORKDAY(DATE(VALUE(LEFT(TO_TEXT(A220),4)),VALUE(MID(TO_TEXT(A220),5,2)),VALUE(RIGHT(TO_TEXT(A220),2))),F220),""yyyymmdd""))"),"")</f>
        <v/>
      </c>
      <c r="H220" s="34" t="str">
        <f t="shared" si="1"/>
        <v/>
      </c>
      <c r="I220" s="35"/>
      <c r="J220" s="35"/>
      <c r="K220" s="35"/>
    </row>
    <row r="221">
      <c r="A221" s="33"/>
      <c r="G221" s="33" t="str">
        <f>IFERROR(__xludf.DUMMYFUNCTION("IF(OR(A221="""",F221=""""),"""",TEXT(WORKDAY(DATE(VALUE(LEFT(TO_TEXT(A221),4)),VALUE(MID(TO_TEXT(A221),5,2)),VALUE(RIGHT(TO_TEXT(A221),2))),F221),""yyyymmdd""))"),"")</f>
        <v/>
      </c>
      <c r="H221" s="34" t="str">
        <f t="shared" si="1"/>
        <v/>
      </c>
      <c r="I221" s="35"/>
      <c r="J221" s="35"/>
      <c r="K221" s="35"/>
    </row>
    <row r="222">
      <c r="A222" s="33"/>
      <c r="G222" s="33" t="str">
        <f>IFERROR(__xludf.DUMMYFUNCTION("IF(OR(A222="""",F222=""""),"""",TEXT(WORKDAY(DATE(VALUE(LEFT(TO_TEXT(A222),4)),VALUE(MID(TO_TEXT(A222),5,2)),VALUE(RIGHT(TO_TEXT(A222),2))),F222),""yyyymmdd""))"),"")</f>
        <v/>
      </c>
      <c r="H222" s="34" t="str">
        <f t="shared" si="1"/>
        <v/>
      </c>
      <c r="I222" s="35"/>
      <c r="J222" s="35"/>
      <c r="K222" s="35"/>
    </row>
    <row r="223">
      <c r="A223" s="33"/>
      <c r="G223" s="33" t="str">
        <f>IFERROR(__xludf.DUMMYFUNCTION("IF(OR(A223="""",F223=""""),"""",TEXT(WORKDAY(DATE(VALUE(LEFT(TO_TEXT(A223),4)),VALUE(MID(TO_TEXT(A223),5,2)),VALUE(RIGHT(TO_TEXT(A223),2))),F223),""yyyymmdd""))"),"")</f>
        <v/>
      </c>
      <c r="H223" s="34" t="str">
        <f t="shared" si="1"/>
        <v/>
      </c>
      <c r="I223" s="35"/>
      <c r="J223" s="35"/>
      <c r="K223" s="35"/>
    </row>
    <row r="224">
      <c r="A224" s="33"/>
      <c r="G224" s="33" t="str">
        <f>IFERROR(__xludf.DUMMYFUNCTION("IF(OR(A224="""",F224=""""),"""",TEXT(WORKDAY(DATE(VALUE(LEFT(TO_TEXT(A224),4)),VALUE(MID(TO_TEXT(A224),5,2)),VALUE(RIGHT(TO_TEXT(A224),2))),F224),""yyyymmdd""))"),"")</f>
        <v/>
      </c>
      <c r="H224" s="34" t="str">
        <f t="shared" si="1"/>
        <v/>
      </c>
      <c r="I224" s="35"/>
      <c r="J224" s="35"/>
      <c r="K224" s="35"/>
    </row>
    <row r="225">
      <c r="A225" s="33"/>
      <c r="G225" s="33" t="str">
        <f>IFERROR(__xludf.DUMMYFUNCTION("IF(OR(A225="""",F225=""""),"""",TEXT(WORKDAY(DATE(VALUE(LEFT(TO_TEXT(A225),4)),VALUE(MID(TO_TEXT(A225),5,2)),VALUE(RIGHT(TO_TEXT(A225),2))),F225),""yyyymmdd""))"),"")</f>
        <v/>
      </c>
      <c r="H225" s="34" t="str">
        <f t="shared" si="1"/>
        <v/>
      </c>
      <c r="I225" s="35"/>
      <c r="J225" s="35"/>
      <c r="K225" s="35"/>
    </row>
    <row r="226">
      <c r="A226" s="33"/>
      <c r="G226" s="33" t="str">
        <f>IFERROR(__xludf.DUMMYFUNCTION("IF(OR(A226="""",F226=""""),"""",TEXT(WORKDAY(DATE(VALUE(LEFT(TO_TEXT(A226),4)),VALUE(MID(TO_TEXT(A226),5,2)),VALUE(RIGHT(TO_TEXT(A226),2))),F226),""yyyymmdd""))"),"")</f>
        <v/>
      </c>
      <c r="H226" s="34" t="str">
        <f t="shared" si="1"/>
        <v/>
      </c>
      <c r="I226" s="35"/>
      <c r="J226" s="35"/>
      <c r="K226" s="35"/>
    </row>
    <row r="227">
      <c r="A227" s="33"/>
      <c r="G227" s="33" t="str">
        <f>IFERROR(__xludf.DUMMYFUNCTION("IF(OR(A227="""",F227=""""),"""",TEXT(WORKDAY(DATE(VALUE(LEFT(TO_TEXT(A227),4)),VALUE(MID(TO_TEXT(A227),5,2)),VALUE(RIGHT(TO_TEXT(A227),2))),F227),""yyyymmdd""))"),"")</f>
        <v/>
      </c>
      <c r="H227" s="34" t="str">
        <f t="shared" si="1"/>
        <v/>
      </c>
      <c r="I227" s="35"/>
      <c r="J227" s="35"/>
      <c r="K227" s="35"/>
    </row>
    <row r="228">
      <c r="A228" s="33"/>
      <c r="G228" s="33" t="str">
        <f>IFERROR(__xludf.DUMMYFUNCTION("IF(OR(A228="""",F228=""""),"""",TEXT(WORKDAY(DATE(VALUE(LEFT(TO_TEXT(A228),4)),VALUE(MID(TO_TEXT(A228),5,2)),VALUE(RIGHT(TO_TEXT(A228),2))),F228),""yyyymmdd""))"),"")</f>
        <v/>
      </c>
      <c r="H228" s="34" t="str">
        <f t="shared" si="1"/>
        <v/>
      </c>
      <c r="I228" s="35"/>
      <c r="J228" s="35"/>
      <c r="K228" s="35"/>
    </row>
    <row r="229">
      <c r="A229" s="33"/>
      <c r="G229" s="33" t="str">
        <f>IFERROR(__xludf.DUMMYFUNCTION("IF(OR(A229="""",F229=""""),"""",TEXT(WORKDAY(DATE(VALUE(LEFT(TO_TEXT(A229),4)),VALUE(MID(TO_TEXT(A229),5,2)),VALUE(RIGHT(TO_TEXT(A229),2))),F229),""yyyymmdd""))"),"")</f>
        <v/>
      </c>
      <c r="H229" s="34" t="str">
        <f t="shared" si="1"/>
        <v/>
      </c>
      <c r="I229" s="35"/>
      <c r="J229" s="35"/>
      <c r="K229" s="35"/>
    </row>
    <row r="230">
      <c r="A230" s="33"/>
      <c r="G230" s="33" t="str">
        <f>IFERROR(__xludf.DUMMYFUNCTION("IF(OR(A230="""",F230=""""),"""",TEXT(WORKDAY(DATE(VALUE(LEFT(TO_TEXT(A230),4)),VALUE(MID(TO_TEXT(A230),5,2)),VALUE(RIGHT(TO_TEXT(A230),2))),F230),""yyyymmdd""))"),"")</f>
        <v/>
      </c>
      <c r="H230" s="34" t="str">
        <f t="shared" si="1"/>
        <v/>
      </c>
      <c r="I230" s="35"/>
      <c r="J230" s="35"/>
      <c r="K230" s="35"/>
    </row>
    <row r="231">
      <c r="A231" s="33"/>
      <c r="G231" s="33" t="str">
        <f>IFERROR(__xludf.DUMMYFUNCTION("IF(OR(A231="""",F231=""""),"""",TEXT(WORKDAY(DATE(VALUE(LEFT(TO_TEXT(A231),4)),VALUE(MID(TO_TEXT(A231),5,2)),VALUE(RIGHT(TO_TEXT(A231),2))),F231),""yyyymmdd""))"),"")</f>
        <v/>
      </c>
      <c r="H231" s="34" t="str">
        <f t="shared" si="1"/>
        <v/>
      </c>
      <c r="I231" s="35"/>
      <c r="J231" s="35"/>
      <c r="K231" s="35"/>
    </row>
    <row r="232">
      <c r="A232" s="33"/>
      <c r="G232" s="33" t="str">
        <f>IFERROR(__xludf.DUMMYFUNCTION("IF(OR(A232="""",F232=""""),"""",TEXT(WORKDAY(DATE(VALUE(LEFT(TO_TEXT(A232),4)),VALUE(MID(TO_TEXT(A232),5,2)),VALUE(RIGHT(TO_TEXT(A232),2))),F232),""yyyymmdd""))"),"")</f>
        <v/>
      </c>
      <c r="H232" s="34" t="str">
        <f t="shared" si="1"/>
        <v/>
      </c>
      <c r="I232" s="35"/>
      <c r="J232" s="35"/>
      <c r="K232" s="35"/>
    </row>
    <row r="233">
      <c r="A233" s="33"/>
      <c r="G233" s="33" t="str">
        <f>IFERROR(__xludf.DUMMYFUNCTION("IF(OR(A233="""",F233=""""),"""",TEXT(WORKDAY(DATE(VALUE(LEFT(TO_TEXT(A233),4)),VALUE(MID(TO_TEXT(A233),5,2)),VALUE(RIGHT(TO_TEXT(A233),2))),F233),""yyyymmdd""))"),"")</f>
        <v/>
      </c>
      <c r="H233" s="34" t="str">
        <f t="shared" si="1"/>
        <v/>
      </c>
      <c r="I233" s="35"/>
      <c r="J233" s="35"/>
      <c r="K233" s="35"/>
    </row>
    <row r="234">
      <c r="A234" s="33"/>
      <c r="G234" s="33" t="str">
        <f>IFERROR(__xludf.DUMMYFUNCTION("IF(OR(A234="""",F234=""""),"""",TEXT(WORKDAY(DATE(VALUE(LEFT(TO_TEXT(A234),4)),VALUE(MID(TO_TEXT(A234),5,2)),VALUE(RIGHT(TO_TEXT(A234),2))),F234),""yyyymmdd""))"),"")</f>
        <v/>
      </c>
      <c r="H234" s="34" t="str">
        <f t="shared" si="1"/>
        <v/>
      </c>
      <c r="I234" s="35"/>
      <c r="J234" s="35"/>
      <c r="K234" s="35"/>
    </row>
    <row r="235">
      <c r="A235" s="33"/>
      <c r="G235" s="33" t="str">
        <f>IFERROR(__xludf.DUMMYFUNCTION("IF(OR(A235="""",F235=""""),"""",TEXT(WORKDAY(DATE(VALUE(LEFT(TO_TEXT(A235),4)),VALUE(MID(TO_TEXT(A235),5,2)),VALUE(RIGHT(TO_TEXT(A235),2))),F235),""yyyymmdd""))"),"")</f>
        <v/>
      </c>
      <c r="H235" s="34" t="str">
        <f t="shared" si="1"/>
        <v/>
      </c>
      <c r="I235" s="35"/>
      <c r="J235" s="35"/>
      <c r="K235" s="35"/>
    </row>
    <row r="236">
      <c r="A236" s="33"/>
      <c r="G236" s="33" t="str">
        <f>IFERROR(__xludf.DUMMYFUNCTION("IF(OR(A236="""",F236=""""),"""",TEXT(WORKDAY(DATE(VALUE(LEFT(TO_TEXT(A236),4)),VALUE(MID(TO_TEXT(A236),5,2)),VALUE(RIGHT(TO_TEXT(A236),2))),F236),""yyyymmdd""))"),"")</f>
        <v/>
      </c>
      <c r="H236" s="34" t="str">
        <f t="shared" si="1"/>
        <v/>
      </c>
      <c r="I236" s="35"/>
      <c r="J236" s="35"/>
      <c r="K236" s="35"/>
    </row>
    <row r="237">
      <c r="A237" s="33"/>
      <c r="G237" s="33" t="str">
        <f>IFERROR(__xludf.DUMMYFUNCTION("IF(OR(A237="""",F237=""""),"""",TEXT(WORKDAY(DATE(VALUE(LEFT(TO_TEXT(A237),4)),VALUE(MID(TO_TEXT(A237),5,2)),VALUE(RIGHT(TO_TEXT(A237),2))),F237),""yyyymmdd""))"),"")</f>
        <v/>
      </c>
      <c r="H237" s="34" t="str">
        <f t="shared" si="1"/>
        <v/>
      </c>
      <c r="I237" s="35"/>
      <c r="J237" s="35"/>
      <c r="K237" s="35"/>
    </row>
    <row r="238">
      <c r="A238" s="33"/>
      <c r="G238" s="33" t="str">
        <f>IFERROR(__xludf.DUMMYFUNCTION("IF(OR(A238="""",F238=""""),"""",TEXT(WORKDAY(DATE(VALUE(LEFT(TO_TEXT(A238),4)),VALUE(MID(TO_TEXT(A238),5,2)),VALUE(RIGHT(TO_TEXT(A238),2))),F238),""yyyymmdd""))"),"")</f>
        <v/>
      </c>
      <c r="H238" s="34" t="str">
        <f t="shared" si="1"/>
        <v/>
      </c>
      <c r="I238" s="35"/>
      <c r="J238" s="35"/>
      <c r="K238" s="35"/>
    </row>
    <row r="239">
      <c r="A239" s="33"/>
      <c r="G239" s="33" t="str">
        <f>IFERROR(__xludf.DUMMYFUNCTION("IF(OR(A239="""",F239=""""),"""",TEXT(WORKDAY(DATE(VALUE(LEFT(TO_TEXT(A239),4)),VALUE(MID(TO_TEXT(A239),5,2)),VALUE(RIGHT(TO_TEXT(A239),2))),F239),""yyyymmdd""))"),"")</f>
        <v/>
      </c>
      <c r="H239" s="34" t="str">
        <f t="shared" si="1"/>
        <v/>
      </c>
      <c r="I239" s="35"/>
      <c r="J239" s="35"/>
      <c r="K239" s="35"/>
    </row>
    <row r="240">
      <c r="A240" s="33"/>
      <c r="G240" s="33" t="str">
        <f>IFERROR(__xludf.DUMMYFUNCTION("IF(OR(A240="""",F240=""""),"""",TEXT(WORKDAY(DATE(VALUE(LEFT(TO_TEXT(A240),4)),VALUE(MID(TO_TEXT(A240),5,2)),VALUE(RIGHT(TO_TEXT(A240),2))),F240),""yyyymmdd""))"),"")</f>
        <v/>
      </c>
      <c r="H240" s="34" t="str">
        <f t="shared" si="1"/>
        <v/>
      </c>
      <c r="I240" s="35"/>
      <c r="J240" s="35"/>
      <c r="K240" s="35"/>
    </row>
    <row r="241">
      <c r="A241" s="33"/>
      <c r="G241" s="33" t="str">
        <f>IFERROR(__xludf.DUMMYFUNCTION("IF(OR(A241="""",F241=""""),"""",TEXT(WORKDAY(DATE(VALUE(LEFT(TO_TEXT(A241),4)),VALUE(MID(TO_TEXT(A241),5,2)),VALUE(RIGHT(TO_TEXT(A241),2))),F241),""yyyymmdd""))"),"")</f>
        <v/>
      </c>
      <c r="H241" s="34" t="str">
        <f t="shared" si="1"/>
        <v/>
      </c>
      <c r="I241" s="35"/>
      <c r="J241" s="35"/>
      <c r="K241" s="35"/>
    </row>
    <row r="242">
      <c r="A242" s="33"/>
      <c r="G242" s="33" t="str">
        <f>IFERROR(__xludf.DUMMYFUNCTION("IF(OR(A242="""",F242=""""),"""",TEXT(WORKDAY(DATE(VALUE(LEFT(TO_TEXT(A242),4)),VALUE(MID(TO_TEXT(A242),5,2)),VALUE(RIGHT(TO_TEXT(A242),2))),F242),""yyyymmdd""))"),"")</f>
        <v/>
      </c>
      <c r="H242" s="34" t="str">
        <f t="shared" si="1"/>
        <v/>
      </c>
      <c r="I242" s="35"/>
      <c r="J242" s="35"/>
      <c r="K242" s="35"/>
    </row>
    <row r="243">
      <c r="A243" s="33"/>
      <c r="G243" s="33" t="str">
        <f>IFERROR(__xludf.DUMMYFUNCTION("IF(OR(A243="""",F243=""""),"""",TEXT(WORKDAY(DATE(VALUE(LEFT(TO_TEXT(A243),4)),VALUE(MID(TO_TEXT(A243),5,2)),VALUE(RIGHT(TO_TEXT(A243),2))),F243),""yyyymmdd""))"),"")</f>
        <v/>
      </c>
      <c r="H243" s="34" t="str">
        <f t="shared" si="1"/>
        <v/>
      </c>
      <c r="I243" s="35"/>
      <c r="J243" s="35"/>
      <c r="K243" s="35"/>
    </row>
    <row r="244">
      <c r="A244" s="33"/>
      <c r="G244" s="33" t="str">
        <f>IFERROR(__xludf.DUMMYFUNCTION("IF(OR(A244="""",F244=""""),"""",TEXT(WORKDAY(DATE(VALUE(LEFT(TO_TEXT(A244),4)),VALUE(MID(TO_TEXT(A244),5,2)),VALUE(RIGHT(TO_TEXT(A244),2))),F244),""yyyymmdd""))"),"")</f>
        <v/>
      </c>
      <c r="H244" s="34" t="str">
        <f t="shared" si="1"/>
        <v/>
      </c>
      <c r="I244" s="35"/>
      <c r="J244" s="35"/>
      <c r="K244" s="35"/>
    </row>
    <row r="245">
      <c r="A245" s="33"/>
      <c r="G245" s="33" t="str">
        <f>IFERROR(__xludf.DUMMYFUNCTION("IF(OR(A245="""",F245=""""),"""",TEXT(WORKDAY(DATE(VALUE(LEFT(TO_TEXT(A245),4)),VALUE(MID(TO_TEXT(A245),5,2)),VALUE(RIGHT(TO_TEXT(A245),2))),F245),""yyyymmdd""))"),"")</f>
        <v/>
      </c>
      <c r="H245" s="34" t="str">
        <f t="shared" si="1"/>
        <v/>
      </c>
      <c r="I245" s="35"/>
      <c r="J245" s="35"/>
      <c r="K245" s="35"/>
    </row>
    <row r="246">
      <c r="A246" s="33"/>
      <c r="G246" s="33" t="str">
        <f>IFERROR(__xludf.DUMMYFUNCTION("IF(OR(A246="""",F246=""""),"""",TEXT(WORKDAY(DATE(VALUE(LEFT(TO_TEXT(A246),4)),VALUE(MID(TO_TEXT(A246),5,2)),VALUE(RIGHT(TO_TEXT(A246),2))),F246),""yyyymmdd""))"),"")</f>
        <v/>
      </c>
      <c r="H246" s="34" t="str">
        <f t="shared" si="1"/>
        <v/>
      </c>
      <c r="I246" s="35"/>
      <c r="J246" s="35"/>
      <c r="K246" s="35"/>
    </row>
    <row r="247">
      <c r="A247" s="33"/>
      <c r="G247" s="33" t="str">
        <f>IFERROR(__xludf.DUMMYFUNCTION("IF(OR(A247="""",F247=""""),"""",TEXT(WORKDAY(DATE(VALUE(LEFT(TO_TEXT(A247),4)),VALUE(MID(TO_TEXT(A247),5,2)),VALUE(RIGHT(TO_TEXT(A247),2))),F247),""yyyymmdd""))"),"")</f>
        <v/>
      </c>
      <c r="H247" s="34" t="str">
        <f t="shared" si="1"/>
        <v/>
      </c>
      <c r="I247" s="35"/>
      <c r="J247" s="35"/>
      <c r="K247" s="35"/>
    </row>
    <row r="248">
      <c r="A248" s="33"/>
      <c r="G248" s="33" t="str">
        <f>IFERROR(__xludf.DUMMYFUNCTION("IF(OR(A248="""",F248=""""),"""",TEXT(WORKDAY(DATE(VALUE(LEFT(TO_TEXT(A248),4)),VALUE(MID(TO_TEXT(A248),5,2)),VALUE(RIGHT(TO_TEXT(A248),2))),F248),""yyyymmdd""))"),"")</f>
        <v/>
      </c>
      <c r="H248" s="34" t="str">
        <f t="shared" si="1"/>
        <v/>
      </c>
      <c r="I248" s="35"/>
      <c r="J248" s="35"/>
      <c r="K248" s="35"/>
    </row>
    <row r="249">
      <c r="A249" s="33"/>
      <c r="G249" s="33" t="str">
        <f>IFERROR(__xludf.DUMMYFUNCTION("IF(OR(A249="""",F249=""""),"""",TEXT(WORKDAY(DATE(VALUE(LEFT(TO_TEXT(A249),4)),VALUE(MID(TO_TEXT(A249),5,2)),VALUE(RIGHT(TO_TEXT(A249),2))),F249),""yyyymmdd""))"),"")</f>
        <v/>
      </c>
      <c r="H249" s="34" t="str">
        <f t="shared" si="1"/>
        <v/>
      </c>
      <c r="I249" s="35"/>
      <c r="J249" s="35"/>
      <c r="K249" s="35"/>
    </row>
    <row r="250">
      <c r="A250" s="33"/>
      <c r="G250" s="33" t="str">
        <f>IFERROR(__xludf.DUMMYFUNCTION("IF(OR(A250="""",F250=""""),"""",TEXT(WORKDAY(DATE(VALUE(LEFT(TO_TEXT(A250),4)),VALUE(MID(TO_TEXT(A250),5,2)),VALUE(RIGHT(TO_TEXT(A250),2))),F250),""yyyymmdd""))"),"")</f>
        <v/>
      </c>
      <c r="H250" s="34" t="str">
        <f t="shared" si="1"/>
        <v/>
      </c>
      <c r="I250" s="35"/>
      <c r="J250" s="35"/>
      <c r="K250" s="35"/>
    </row>
    <row r="251">
      <c r="A251" s="33"/>
      <c r="G251" s="33" t="str">
        <f>IFERROR(__xludf.DUMMYFUNCTION("IF(OR(A251="""",F251=""""),"""",TEXT(WORKDAY(DATE(VALUE(LEFT(TO_TEXT(A251),4)),VALUE(MID(TO_TEXT(A251),5,2)),VALUE(RIGHT(TO_TEXT(A251),2))),F251),""yyyymmdd""))"),"")</f>
        <v/>
      </c>
      <c r="H251" s="34" t="str">
        <f t="shared" si="1"/>
        <v/>
      </c>
      <c r="I251" s="35"/>
      <c r="J251" s="35"/>
      <c r="K251" s="35"/>
    </row>
    <row r="252">
      <c r="A252" s="33"/>
      <c r="G252" s="33" t="str">
        <f>IFERROR(__xludf.DUMMYFUNCTION("IF(OR(A252="""",F252=""""),"""",TEXT(WORKDAY(DATE(VALUE(LEFT(TO_TEXT(A252),4)),VALUE(MID(TO_TEXT(A252),5,2)),VALUE(RIGHT(TO_TEXT(A252),2))),F252),""yyyymmdd""))"),"")</f>
        <v/>
      </c>
      <c r="H252" s="34" t="str">
        <f t="shared" si="1"/>
        <v/>
      </c>
      <c r="I252" s="35"/>
      <c r="J252" s="35"/>
      <c r="K252" s="35"/>
    </row>
    <row r="253">
      <c r="A253" s="33"/>
      <c r="G253" s="33" t="str">
        <f>IFERROR(__xludf.DUMMYFUNCTION("IF(OR(A253="""",F253=""""),"""",TEXT(WORKDAY(DATE(VALUE(LEFT(TO_TEXT(A253),4)),VALUE(MID(TO_TEXT(A253),5,2)),VALUE(RIGHT(TO_TEXT(A253),2))),F253),""yyyymmdd""))"),"")</f>
        <v/>
      </c>
      <c r="H253" s="34" t="str">
        <f t="shared" si="1"/>
        <v/>
      </c>
      <c r="I253" s="35"/>
      <c r="J253" s="35"/>
      <c r="K253" s="35"/>
    </row>
    <row r="254">
      <c r="A254" s="33"/>
      <c r="G254" s="33" t="str">
        <f>IFERROR(__xludf.DUMMYFUNCTION("IF(OR(A254="""",F254=""""),"""",TEXT(WORKDAY(DATE(VALUE(LEFT(TO_TEXT(A254),4)),VALUE(MID(TO_TEXT(A254),5,2)),VALUE(RIGHT(TO_TEXT(A254),2))),F254),""yyyymmdd""))"),"")</f>
        <v/>
      </c>
      <c r="H254" s="34" t="str">
        <f t="shared" si="1"/>
        <v/>
      </c>
      <c r="I254" s="35"/>
      <c r="J254" s="35"/>
      <c r="K254" s="35"/>
    </row>
    <row r="255">
      <c r="A255" s="33"/>
      <c r="G255" s="33" t="str">
        <f>IFERROR(__xludf.DUMMYFUNCTION("IF(OR(A255="""",F255=""""),"""",TEXT(WORKDAY(DATE(VALUE(LEFT(TO_TEXT(A255),4)),VALUE(MID(TO_TEXT(A255),5,2)),VALUE(RIGHT(TO_TEXT(A255),2))),F255),""yyyymmdd""))"),"")</f>
        <v/>
      </c>
      <c r="H255" s="34" t="str">
        <f t="shared" si="1"/>
        <v/>
      </c>
      <c r="I255" s="35"/>
      <c r="J255" s="35"/>
      <c r="K255" s="35"/>
    </row>
    <row r="256">
      <c r="A256" s="33"/>
      <c r="G256" s="33" t="str">
        <f>IFERROR(__xludf.DUMMYFUNCTION("IF(OR(A256="""",F256=""""),"""",TEXT(WORKDAY(DATE(VALUE(LEFT(TO_TEXT(A256),4)),VALUE(MID(TO_TEXT(A256),5,2)),VALUE(RIGHT(TO_TEXT(A256),2))),F256),""yyyymmdd""))"),"")</f>
        <v/>
      </c>
      <c r="H256" s="34" t="str">
        <f t="shared" si="1"/>
        <v/>
      </c>
      <c r="I256" s="35"/>
      <c r="J256" s="35"/>
      <c r="K256" s="35"/>
    </row>
    <row r="257">
      <c r="A257" s="33"/>
      <c r="G257" s="33" t="str">
        <f>IFERROR(__xludf.DUMMYFUNCTION("IF(OR(A257="""",F257=""""),"""",TEXT(WORKDAY(DATE(VALUE(LEFT(TO_TEXT(A257),4)),VALUE(MID(TO_TEXT(A257),5,2)),VALUE(RIGHT(TO_TEXT(A257),2))),F257),""yyyymmdd""))"),"")</f>
        <v/>
      </c>
      <c r="H257" s="34" t="str">
        <f t="shared" si="1"/>
        <v/>
      </c>
      <c r="I257" s="35"/>
      <c r="J257" s="35"/>
      <c r="K257" s="35"/>
    </row>
    <row r="258">
      <c r="A258" s="33"/>
      <c r="G258" s="33" t="str">
        <f>IFERROR(__xludf.DUMMYFUNCTION("IF(OR(A258="""",F258=""""),"""",TEXT(WORKDAY(DATE(VALUE(LEFT(TO_TEXT(A258),4)),VALUE(MID(TO_TEXT(A258),5,2)),VALUE(RIGHT(TO_TEXT(A258),2))),F258),""yyyymmdd""))"),"")</f>
        <v/>
      </c>
      <c r="H258" s="34" t="str">
        <f t="shared" si="1"/>
        <v/>
      </c>
      <c r="I258" s="35"/>
      <c r="J258" s="35"/>
      <c r="K258" s="35"/>
    </row>
    <row r="259">
      <c r="A259" s="33"/>
      <c r="G259" s="33" t="str">
        <f>IFERROR(__xludf.DUMMYFUNCTION("IF(OR(A259="""",F259=""""),"""",TEXT(WORKDAY(DATE(VALUE(LEFT(TO_TEXT(A259),4)),VALUE(MID(TO_TEXT(A259),5,2)),VALUE(RIGHT(TO_TEXT(A259),2))),F259),""yyyymmdd""))"),"")</f>
        <v/>
      </c>
      <c r="H259" s="34" t="str">
        <f t="shared" si="1"/>
        <v/>
      </c>
      <c r="I259" s="35"/>
      <c r="J259" s="35"/>
      <c r="K259" s="35"/>
    </row>
    <row r="260">
      <c r="A260" s="33"/>
      <c r="G260" s="33" t="str">
        <f>IFERROR(__xludf.DUMMYFUNCTION("IF(OR(A260="""",F260=""""),"""",TEXT(WORKDAY(DATE(VALUE(LEFT(TO_TEXT(A260),4)),VALUE(MID(TO_TEXT(A260),5,2)),VALUE(RIGHT(TO_TEXT(A260),2))),F260),""yyyymmdd""))"),"")</f>
        <v/>
      </c>
      <c r="H260" s="34" t="str">
        <f t="shared" si="1"/>
        <v/>
      </c>
      <c r="I260" s="35"/>
      <c r="J260" s="35"/>
      <c r="K260" s="35"/>
    </row>
    <row r="261">
      <c r="A261" s="33"/>
      <c r="G261" s="33" t="str">
        <f>IFERROR(__xludf.DUMMYFUNCTION("IF(OR(A261="""",F261=""""),"""",TEXT(WORKDAY(DATE(VALUE(LEFT(TO_TEXT(A261),4)),VALUE(MID(TO_TEXT(A261),5,2)),VALUE(RIGHT(TO_TEXT(A261),2))),F261),""yyyymmdd""))"),"")</f>
        <v/>
      </c>
      <c r="H261" s="34" t="str">
        <f t="shared" si="1"/>
        <v/>
      </c>
      <c r="I261" s="35"/>
      <c r="J261" s="35"/>
      <c r="K261" s="35"/>
    </row>
    <row r="262">
      <c r="A262" s="33"/>
      <c r="G262" s="33" t="str">
        <f>IFERROR(__xludf.DUMMYFUNCTION("IF(OR(A262="""",F262=""""),"""",TEXT(WORKDAY(DATE(VALUE(LEFT(TO_TEXT(A262),4)),VALUE(MID(TO_TEXT(A262),5,2)),VALUE(RIGHT(TO_TEXT(A262),2))),F262),""yyyymmdd""))"),"")</f>
        <v/>
      </c>
      <c r="H262" s="34" t="str">
        <f t="shared" si="1"/>
        <v/>
      </c>
      <c r="I262" s="35"/>
      <c r="J262" s="35"/>
      <c r="K262" s="35"/>
    </row>
    <row r="263">
      <c r="A263" s="33"/>
      <c r="G263" s="33" t="str">
        <f>IFERROR(__xludf.DUMMYFUNCTION("IF(OR(A263="""",F263=""""),"""",TEXT(WORKDAY(DATE(VALUE(LEFT(TO_TEXT(A263),4)),VALUE(MID(TO_TEXT(A263),5,2)),VALUE(RIGHT(TO_TEXT(A263),2))),F263),""yyyymmdd""))"),"")</f>
        <v/>
      </c>
      <c r="H263" s="34" t="str">
        <f t="shared" si="1"/>
        <v/>
      </c>
      <c r="I263" s="35"/>
      <c r="J263" s="35"/>
      <c r="K263" s="35"/>
    </row>
    <row r="264">
      <c r="A264" s="33"/>
      <c r="G264" s="33" t="str">
        <f>IFERROR(__xludf.DUMMYFUNCTION("IF(OR(A264="""",F264=""""),"""",TEXT(WORKDAY(DATE(VALUE(LEFT(TO_TEXT(A264),4)),VALUE(MID(TO_TEXT(A264),5,2)),VALUE(RIGHT(TO_TEXT(A264),2))),F264),""yyyymmdd""))"),"")</f>
        <v/>
      </c>
      <c r="H264" s="34" t="str">
        <f t="shared" si="1"/>
        <v/>
      </c>
      <c r="I264" s="35"/>
      <c r="J264" s="35"/>
      <c r="K264" s="35"/>
    </row>
    <row r="265">
      <c r="A265" s="33"/>
      <c r="G265" s="33" t="str">
        <f>IFERROR(__xludf.DUMMYFUNCTION("IF(OR(A265="""",F265=""""),"""",TEXT(WORKDAY(DATE(VALUE(LEFT(TO_TEXT(A265),4)),VALUE(MID(TO_TEXT(A265),5,2)),VALUE(RIGHT(TO_TEXT(A265),2))),F265),""yyyymmdd""))"),"")</f>
        <v/>
      </c>
      <c r="H265" s="34" t="str">
        <f t="shared" si="1"/>
        <v/>
      </c>
      <c r="I265" s="35"/>
      <c r="J265" s="35"/>
      <c r="K265" s="35"/>
    </row>
    <row r="266">
      <c r="A266" s="33"/>
      <c r="G266" s="33" t="str">
        <f>IFERROR(__xludf.DUMMYFUNCTION("IF(OR(A266="""",F266=""""),"""",TEXT(WORKDAY(DATE(VALUE(LEFT(TO_TEXT(A266),4)),VALUE(MID(TO_TEXT(A266),5,2)),VALUE(RIGHT(TO_TEXT(A266),2))),F266),""yyyymmdd""))"),"")</f>
        <v/>
      </c>
      <c r="H266" s="34" t="str">
        <f t="shared" si="1"/>
        <v/>
      </c>
      <c r="I266" s="35"/>
      <c r="J266" s="35"/>
      <c r="K266" s="35"/>
    </row>
    <row r="267">
      <c r="A267" s="33"/>
      <c r="G267" s="33" t="str">
        <f>IFERROR(__xludf.DUMMYFUNCTION("IF(OR(A267="""",F267=""""),"""",TEXT(WORKDAY(DATE(VALUE(LEFT(TO_TEXT(A267),4)),VALUE(MID(TO_TEXT(A267),5,2)),VALUE(RIGHT(TO_TEXT(A267),2))),F267),""yyyymmdd""))"),"")</f>
        <v/>
      </c>
      <c r="H267" s="34" t="str">
        <f t="shared" si="1"/>
        <v/>
      </c>
      <c r="I267" s="35"/>
      <c r="J267" s="35"/>
      <c r="K267" s="35"/>
    </row>
    <row r="268">
      <c r="A268" s="33"/>
      <c r="G268" s="33" t="str">
        <f>IFERROR(__xludf.DUMMYFUNCTION("IF(OR(A268="""",F268=""""),"""",TEXT(WORKDAY(DATE(VALUE(LEFT(TO_TEXT(A268),4)),VALUE(MID(TO_TEXT(A268),5,2)),VALUE(RIGHT(TO_TEXT(A268),2))),F268),""yyyymmdd""))"),"")</f>
        <v/>
      </c>
      <c r="H268" s="34" t="str">
        <f t="shared" si="1"/>
        <v/>
      </c>
      <c r="I268" s="35"/>
      <c r="J268" s="35"/>
      <c r="K268" s="35"/>
    </row>
    <row r="269">
      <c r="A269" s="33"/>
      <c r="G269" s="33" t="str">
        <f>IFERROR(__xludf.DUMMYFUNCTION("IF(OR(A269="""",F269=""""),"""",TEXT(WORKDAY(DATE(VALUE(LEFT(TO_TEXT(A269),4)),VALUE(MID(TO_TEXT(A269),5,2)),VALUE(RIGHT(TO_TEXT(A269),2))),F269),""yyyymmdd""))"),"")</f>
        <v/>
      </c>
      <c r="H269" s="34" t="str">
        <f t="shared" si="1"/>
        <v/>
      </c>
      <c r="I269" s="35"/>
      <c r="J269" s="35"/>
      <c r="K269" s="35"/>
    </row>
    <row r="270">
      <c r="A270" s="33"/>
      <c r="G270" s="33" t="str">
        <f>IFERROR(__xludf.DUMMYFUNCTION("IF(OR(A270="""",F270=""""),"""",TEXT(WORKDAY(DATE(VALUE(LEFT(TO_TEXT(A270),4)),VALUE(MID(TO_TEXT(A270),5,2)),VALUE(RIGHT(TO_TEXT(A270),2))),F270),""yyyymmdd""))"),"")</f>
        <v/>
      </c>
      <c r="H270" s="34" t="str">
        <f t="shared" si="1"/>
        <v/>
      </c>
      <c r="I270" s="35"/>
      <c r="J270" s="35"/>
      <c r="K270" s="35"/>
    </row>
    <row r="271">
      <c r="A271" s="33"/>
      <c r="G271" s="33" t="str">
        <f>IFERROR(__xludf.DUMMYFUNCTION("IF(OR(A271="""",F271=""""),"""",TEXT(WORKDAY(DATE(VALUE(LEFT(TO_TEXT(A271),4)),VALUE(MID(TO_TEXT(A271),5,2)),VALUE(RIGHT(TO_TEXT(A271),2))),F271),""yyyymmdd""))"),"")</f>
        <v/>
      </c>
      <c r="H271" s="34" t="str">
        <f t="shared" si="1"/>
        <v/>
      </c>
      <c r="I271" s="35"/>
      <c r="J271" s="35"/>
      <c r="K271" s="35"/>
    </row>
    <row r="272">
      <c r="A272" s="33"/>
      <c r="G272" s="33" t="str">
        <f>IFERROR(__xludf.DUMMYFUNCTION("IF(OR(A272="""",F272=""""),"""",TEXT(WORKDAY(DATE(VALUE(LEFT(TO_TEXT(A272),4)),VALUE(MID(TO_TEXT(A272),5,2)),VALUE(RIGHT(TO_TEXT(A272),2))),F272),""yyyymmdd""))"),"")</f>
        <v/>
      </c>
      <c r="H272" s="34" t="str">
        <f t="shared" si="1"/>
        <v/>
      </c>
      <c r="I272" s="35"/>
      <c r="J272" s="35"/>
      <c r="K272" s="35"/>
    </row>
    <row r="273">
      <c r="A273" s="33"/>
      <c r="G273" s="33" t="str">
        <f>IFERROR(__xludf.DUMMYFUNCTION("IF(OR(A273="""",F273=""""),"""",TEXT(WORKDAY(DATE(VALUE(LEFT(TO_TEXT(A273),4)),VALUE(MID(TO_TEXT(A273),5,2)),VALUE(RIGHT(TO_TEXT(A273),2))),F273),""yyyymmdd""))"),"")</f>
        <v/>
      </c>
      <c r="H273" s="34" t="str">
        <f t="shared" si="1"/>
        <v/>
      </c>
      <c r="I273" s="35"/>
      <c r="J273" s="35"/>
      <c r="K273" s="35"/>
    </row>
    <row r="274">
      <c r="A274" s="33"/>
      <c r="G274" s="33" t="str">
        <f>IFERROR(__xludf.DUMMYFUNCTION("IF(OR(A274="""",F274=""""),"""",TEXT(WORKDAY(DATE(VALUE(LEFT(TO_TEXT(A274),4)),VALUE(MID(TO_TEXT(A274),5,2)),VALUE(RIGHT(TO_TEXT(A274),2))),F274),""yyyymmdd""))"),"")</f>
        <v/>
      </c>
      <c r="H274" s="34" t="str">
        <f t="shared" si="1"/>
        <v/>
      </c>
      <c r="I274" s="35"/>
      <c r="J274" s="35"/>
      <c r="K274" s="35"/>
    </row>
    <row r="275">
      <c r="A275" s="33"/>
      <c r="G275" s="33" t="str">
        <f>IFERROR(__xludf.DUMMYFUNCTION("IF(OR(A275="""",F275=""""),"""",TEXT(WORKDAY(DATE(VALUE(LEFT(TO_TEXT(A275),4)),VALUE(MID(TO_TEXT(A275),5,2)),VALUE(RIGHT(TO_TEXT(A275),2))),F275),""yyyymmdd""))"),"")</f>
        <v/>
      </c>
      <c r="H275" s="34" t="str">
        <f t="shared" si="1"/>
        <v/>
      </c>
      <c r="I275" s="35"/>
      <c r="J275" s="35"/>
      <c r="K275" s="35"/>
    </row>
    <row r="276">
      <c r="A276" s="33"/>
      <c r="G276" s="33" t="str">
        <f>IFERROR(__xludf.DUMMYFUNCTION("IF(OR(A276="""",F276=""""),"""",TEXT(WORKDAY(DATE(VALUE(LEFT(TO_TEXT(A276),4)),VALUE(MID(TO_TEXT(A276),5,2)),VALUE(RIGHT(TO_TEXT(A276),2))),F276),""yyyymmdd""))"),"")</f>
        <v/>
      </c>
      <c r="H276" s="34" t="str">
        <f t="shared" si="1"/>
        <v/>
      </c>
      <c r="I276" s="35"/>
      <c r="J276" s="35"/>
      <c r="K276" s="35"/>
    </row>
    <row r="277">
      <c r="A277" s="33"/>
      <c r="G277" s="33" t="str">
        <f>IFERROR(__xludf.DUMMYFUNCTION("IF(OR(A277="""",F277=""""),"""",TEXT(WORKDAY(DATE(VALUE(LEFT(TO_TEXT(A277),4)),VALUE(MID(TO_TEXT(A277),5,2)),VALUE(RIGHT(TO_TEXT(A277),2))),F277),""yyyymmdd""))"),"")</f>
        <v/>
      </c>
      <c r="H277" s="34" t="str">
        <f t="shared" si="1"/>
        <v/>
      </c>
      <c r="I277" s="35"/>
      <c r="J277" s="35"/>
      <c r="K277" s="35"/>
    </row>
    <row r="278">
      <c r="A278" s="33"/>
      <c r="G278" s="33" t="str">
        <f>IFERROR(__xludf.DUMMYFUNCTION("IF(OR(A278="""",F278=""""),"""",TEXT(WORKDAY(DATE(VALUE(LEFT(TO_TEXT(A278),4)),VALUE(MID(TO_TEXT(A278),5,2)),VALUE(RIGHT(TO_TEXT(A278),2))),F278),""yyyymmdd""))"),"")</f>
        <v/>
      </c>
      <c r="H278" s="34" t="str">
        <f t="shared" si="1"/>
        <v/>
      </c>
      <c r="I278" s="35"/>
      <c r="J278" s="35"/>
      <c r="K278" s="35"/>
    </row>
    <row r="279">
      <c r="A279" s="33"/>
      <c r="G279" s="33" t="str">
        <f>IFERROR(__xludf.DUMMYFUNCTION("IF(OR(A279="""",F279=""""),"""",TEXT(WORKDAY(DATE(VALUE(LEFT(TO_TEXT(A279),4)),VALUE(MID(TO_TEXT(A279),5,2)),VALUE(RIGHT(TO_TEXT(A279),2))),F279),""yyyymmdd""))"),"")</f>
        <v/>
      </c>
      <c r="H279" s="34" t="str">
        <f t="shared" si="1"/>
        <v/>
      </c>
      <c r="I279" s="35"/>
      <c r="J279" s="35"/>
      <c r="K279" s="35"/>
    </row>
    <row r="280">
      <c r="A280" s="33"/>
      <c r="G280" s="33" t="str">
        <f>IFERROR(__xludf.DUMMYFUNCTION("IF(OR(A280="""",F280=""""),"""",TEXT(WORKDAY(DATE(VALUE(LEFT(TO_TEXT(A280),4)),VALUE(MID(TO_TEXT(A280),5,2)),VALUE(RIGHT(TO_TEXT(A280),2))),F280),""yyyymmdd""))"),"")</f>
        <v/>
      </c>
      <c r="H280" s="34" t="str">
        <f t="shared" si="1"/>
        <v/>
      </c>
      <c r="I280" s="35"/>
      <c r="J280" s="35"/>
      <c r="K280" s="35"/>
    </row>
    <row r="281">
      <c r="A281" s="33"/>
      <c r="G281" s="33" t="str">
        <f>IFERROR(__xludf.DUMMYFUNCTION("IF(OR(A281="""",F281=""""),"""",TEXT(WORKDAY(DATE(VALUE(LEFT(TO_TEXT(A281),4)),VALUE(MID(TO_TEXT(A281),5,2)),VALUE(RIGHT(TO_TEXT(A281),2))),F281),""yyyymmdd""))"),"")</f>
        <v/>
      </c>
      <c r="H281" s="34" t="str">
        <f t="shared" si="1"/>
        <v/>
      </c>
      <c r="I281" s="35"/>
      <c r="J281" s="35"/>
      <c r="K281" s="35"/>
    </row>
    <row r="282">
      <c r="A282" s="33"/>
      <c r="G282" s="33" t="str">
        <f>IFERROR(__xludf.DUMMYFUNCTION("IF(OR(A282="""",F282=""""),"""",TEXT(WORKDAY(DATE(VALUE(LEFT(TO_TEXT(A282),4)),VALUE(MID(TO_TEXT(A282),5,2)),VALUE(RIGHT(TO_TEXT(A282),2))),F282),""yyyymmdd""))"),"")</f>
        <v/>
      </c>
      <c r="H282" s="34" t="str">
        <f t="shared" si="1"/>
        <v/>
      </c>
      <c r="I282" s="35"/>
      <c r="J282" s="35"/>
      <c r="K282" s="35"/>
    </row>
    <row r="283">
      <c r="A283" s="33"/>
      <c r="G283" s="33" t="str">
        <f>IFERROR(__xludf.DUMMYFUNCTION("IF(OR(A283="""",F283=""""),"""",TEXT(WORKDAY(DATE(VALUE(LEFT(TO_TEXT(A283),4)),VALUE(MID(TO_TEXT(A283),5,2)),VALUE(RIGHT(TO_TEXT(A283),2))),F283),""yyyymmdd""))"),"")</f>
        <v/>
      </c>
      <c r="H283" s="34" t="str">
        <f t="shared" si="1"/>
        <v/>
      </c>
      <c r="I283" s="35"/>
      <c r="J283" s="35"/>
      <c r="K283" s="35"/>
    </row>
    <row r="284">
      <c r="A284" s="33"/>
      <c r="G284" s="33" t="str">
        <f>IFERROR(__xludf.DUMMYFUNCTION("IF(OR(A284="""",F284=""""),"""",TEXT(WORKDAY(DATE(VALUE(LEFT(TO_TEXT(A284),4)),VALUE(MID(TO_TEXT(A284),5,2)),VALUE(RIGHT(TO_TEXT(A284),2))),F284),""yyyymmdd""))"),"")</f>
        <v/>
      </c>
      <c r="H284" s="34" t="str">
        <f t="shared" si="1"/>
        <v/>
      </c>
      <c r="I284" s="35"/>
      <c r="J284" s="35"/>
      <c r="K284" s="35"/>
    </row>
    <row r="285">
      <c r="A285" s="33"/>
      <c r="G285" s="33" t="str">
        <f>IFERROR(__xludf.DUMMYFUNCTION("IF(OR(A285="""",F285=""""),"""",TEXT(WORKDAY(DATE(VALUE(LEFT(TO_TEXT(A285),4)),VALUE(MID(TO_TEXT(A285),5,2)),VALUE(RIGHT(TO_TEXT(A285),2))),F285),""yyyymmdd""))"),"")</f>
        <v/>
      </c>
      <c r="H285" s="34" t="str">
        <f t="shared" si="1"/>
        <v/>
      </c>
      <c r="I285" s="35"/>
      <c r="J285" s="35"/>
      <c r="K285" s="35"/>
    </row>
    <row r="286">
      <c r="A286" s="33"/>
      <c r="G286" s="33" t="str">
        <f>IFERROR(__xludf.DUMMYFUNCTION("IF(OR(A286="""",F286=""""),"""",TEXT(WORKDAY(DATE(VALUE(LEFT(TO_TEXT(A286),4)),VALUE(MID(TO_TEXT(A286),5,2)),VALUE(RIGHT(TO_TEXT(A286),2))),F286),""yyyymmdd""))"),"")</f>
        <v/>
      </c>
      <c r="H286" s="34" t="str">
        <f t="shared" si="1"/>
        <v/>
      </c>
      <c r="I286" s="35"/>
      <c r="J286" s="35"/>
      <c r="K286" s="35"/>
    </row>
    <row r="287">
      <c r="A287" s="33"/>
      <c r="G287" s="33" t="str">
        <f>IFERROR(__xludf.DUMMYFUNCTION("IF(OR(A287="""",F287=""""),"""",TEXT(WORKDAY(DATE(VALUE(LEFT(TO_TEXT(A287),4)),VALUE(MID(TO_TEXT(A287),5,2)),VALUE(RIGHT(TO_TEXT(A287),2))),F287),""yyyymmdd""))"),"")</f>
        <v/>
      </c>
      <c r="H287" s="34" t="str">
        <f t="shared" si="1"/>
        <v/>
      </c>
      <c r="I287" s="35"/>
      <c r="J287" s="35"/>
      <c r="K287" s="35"/>
    </row>
    <row r="288">
      <c r="A288" s="33"/>
      <c r="G288" s="33" t="str">
        <f>IFERROR(__xludf.DUMMYFUNCTION("IF(OR(A288="""",F288=""""),"""",TEXT(WORKDAY(DATE(VALUE(LEFT(TO_TEXT(A288),4)),VALUE(MID(TO_TEXT(A288),5,2)),VALUE(RIGHT(TO_TEXT(A288),2))),F288),""yyyymmdd""))"),"")</f>
        <v/>
      </c>
      <c r="H288" s="34" t="str">
        <f t="shared" si="1"/>
        <v/>
      </c>
      <c r="I288" s="35"/>
      <c r="J288" s="35"/>
      <c r="K288" s="35"/>
    </row>
    <row r="289">
      <c r="A289" s="33"/>
      <c r="G289" s="33" t="str">
        <f>IFERROR(__xludf.DUMMYFUNCTION("IF(OR(A289="""",F289=""""),"""",TEXT(WORKDAY(DATE(VALUE(LEFT(TO_TEXT(A289),4)),VALUE(MID(TO_TEXT(A289),5,2)),VALUE(RIGHT(TO_TEXT(A289),2))),F289),""yyyymmdd""))"),"")</f>
        <v/>
      </c>
      <c r="H289" s="34" t="str">
        <f t="shared" si="1"/>
        <v/>
      </c>
      <c r="I289" s="35"/>
      <c r="J289" s="35"/>
      <c r="K289" s="35"/>
    </row>
    <row r="290">
      <c r="A290" s="33"/>
      <c r="G290" s="33" t="str">
        <f>IFERROR(__xludf.DUMMYFUNCTION("IF(OR(A290="""",F290=""""),"""",TEXT(WORKDAY(DATE(VALUE(LEFT(TO_TEXT(A290),4)),VALUE(MID(TO_TEXT(A290),5,2)),VALUE(RIGHT(TO_TEXT(A290),2))),F290),""yyyymmdd""))"),"")</f>
        <v/>
      </c>
      <c r="H290" s="34" t="str">
        <f t="shared" si="1"/>
        <v/>
      </c>
      <c r="I290" s="35"/>
      <c r="J290" s="35"/>
      <c r="K290" s="35"/>
    </row>
    <row r="291">
      <c r="A291" s="33"/>
      <c r="G291" s="33" t="str">
        <f>IFERROR(__xludf.DUMMYFUNCTION("IF(OR(A291="""",F291=""""),"""",TEXT(WORKDAY(DATE(VALUE(LEFT(TO_TEXT(A291),4)),VALUE(MID(TO_TEXT(A291),5,2)),VALUE(RIGHT(TO_TEXT(A291),2))),F291),""yyyymmdd""))"),"")</f>
        <v/>
      </c>
      <c r="H291" s="34" t="str">
        <f t="shared" si="1"/>
        <v/>
      </c>
      <c r="I291" s="35"/>
      <c r="J291" s="35"/>
      <c r="K291" s="35"/>
    </row>
    <row r="292">
      <c r="A292" s="33"/>
      <c r="G292" s="33" t="str">
        <f>IFERROR(__xludf.DUMMYFUNCTION("IF(OR(A292="""",F292=""""),"""",TEXT(WORKDAY(DATE(VALUE(LEFT(TO_TEXT(A292),4)),VALUE(MID(TO_TEXT(A292),5,2)),VALUE(RIGHT(TO_TEXT(A292),2))),F292),""yyyymmdd""))"),"")</f>
        <v/>
      </c>
      <c r="H292" s="34" t="str">
        <f t="shared" si="1"/>
        <v/>
      </c>
      <c r="I292" s="35"/>
      <c r="J292" s="35"/>
      <c r="K292" s="35"/>
    </row>
    <row r="293">
      <c r="A293" s="33"/>
      <c r="G293" s="33" t="str">
        <f>IFERROR(__xludf.DUMMYFUNCTION("IF(OR(A293="""",F293=""""),"""",TEXT(WORKDAY(DATE(VALUE(LEFT(TO_TEXT(A293),4)),VALUE(MID(TO_TEXT(A293),5,2)),VALUE(RIGHT(TO_TEXT(A293),2))),F293),""yyyymmdd""))"),"")</f>
        <v/>
      </c>
      <c r="H293" s="34" t="str">
        <f t="shared" si="1"/>
        <v/>
      </c>
      <c r="I293" s="35"/>
      <c r="J293" s="35"/>
      <c r="K293" s="35"/>
    </row>
    <row r="294">
      <c r="A294" s="33"/>
      <c r="G294" s="33" t="str">
        <f>IFERROR(__xludf.DUMMYFUNCTION("IF(OR(A294="""",F294=""""),"""",TEXT(WORKDAY(DATE(VALUE(LEFT(TO_TEXT(A294),4)),VALUE(MID(TO_TEXT(A294),5,2)),VALUE(RIGHT(TO_TEXT(A294),2))),F294),""yyyymmdd""))"),"")</f>
        <v/>
      </c>
      <c r="H294" s="34" t="str">
        <f t="shared" si="1"/>
        <v/>
      </c>
      <c r="I294" s="35"/>
      <c r="J294" s="35"/>
      <c r="K294" s="35"/>
    </row>
    <row r="295">
      <c r="A295" s="33"/>
      <c r="G295" s="33" t="str">
        <f>IFERROR(__xludf.DUMMYFUNCTION("IF(OR(A295="""",F295=""""),"""",TEXT(WORKDAY(DATE(VALUE(LEFT(TO_TEXT(A295),4)),VALUE(MID(TO_TEXT(A295),5,2)),VALUE(RIGHT(TO_TEXT(A295),2))),F295),""yyyymmdd""))"),"")</f>
        <v/>
      </c>
      <c r="H295" s="34" t="str">
        <f t="shared" si="1"/>
        <v/>
      </c>
      <c r="I295" s="35"/>
      <c r="J295" s="35"/>
      <c r="K295" s="35"/>
    </row>
    <row r="296">
      <c r="A296" s="33"/>
      <c r="G296" s="33" t="str">
        <f>IFERROR(__xludf.DUMMYFUNCTION("IF(OR(A296="""",F296=""""),"""",TEXT(WORKDAY(DATE(VALUE(LEFT(TO_TEXT(A296),4)),VALUE(MID(TO_TEXT(A296),5,2)),VALUE(RIGHT(TO_TEXT(A296),2))),F296),""yyyymmdd""))"),"")</f>
        <v/>
      </c>
      <c r="H296" s="34" t="str">
        <f t="shared" si="1"/>
        <v/>
      </c>
      <c r="I296" s="35"/>
      <c r="J296" s="35"/>
      <c r="K296" s="35"/>
    </row>
    <row r="297">
      <c r="A297" s="33"/>
      <c r="G297" s="33" t="str">
        <f>IFERROR(__xludf.DUMMYFUNCTION("IF(OR(A297="""",F297=""""),"""",TEXT(WORKDAY(DATE(VALUE(LEFT(TO_TEXT(A297),4)),VALUE(MID(TO_TEXT(A297),5,2)),VALUE(RIGHT(TO_TEXT(A297),2))),F297),""yyyymmdd""))"),"")</f>
        <v/>
      </c>
      <c r="H297" s="34" t="str">
        <f t="shared" si="1"/>
        <v/>
      </c>
      <c r="I297" s="35"/>
      <c r="J297" s="35"/>
      <c r="K297" s="35"/>
    </row>
    <row r="298">
      <c r="A298" s="33"/>
      <c r="G298" s="33" t="str">
        <f>IFERROR(__xludf.DUMMYFUNCTION("IF(OR(A298="""",F298=""""),"""",TEXT(WORKDAY(DATE(VALUE(LEFT(TO_TEXT(A298),4)),VALUE(MID(TO_TEXT(A298),5,2)),VALUE(RIGHT(TO_TEXT(A298),2))),F298),""yyyymmdd""))"),"")</f>
        <v/>
      </c>
      <c r="H298" s="34" t="str">
        <f t="shared" si="1"/>
        <v/>
      </c>
      <c r="I298" s="35"/>
      <c r="J298" s="35"/>
      <c r="K298" s="35"/>
    </row>
    <row r="299">
      <c r="A299" s="33"/>
      <c r="G299" s="33" t="str">
        <f>IFERROR(__xludf.DUMMYFUNCTION("IF(OR(A299="""",F299=""""),"""",TEXT(WORKDAY(DATE(VALUE(LEFT(TO_TEXT(A299),4)),VALUE(MID(TO_TEXT(A299),5,2)),VALUE(RIGHT(TO_TEXT(A299),2))),F299),""yyyymmdd""))"),"")</f>
        <v/>
      </c>
      <c r="H299" s="34" t="str">
        <f t="shared" si="1"/>
        <v/>
      </c>
      <c r="I299" s="35"/>
      <c r="J299" s="35"/>
      <c r="K299" s="35"/>
    </row>
    <row r="300">
      <c r="A300" s="33"/>
      <c r="G300" s="33" t="str">
        <f>IFERROR(__xludf.DUMMYFUNCTION("IF(OR(A300="""",F300=""""),"""",TEXT(WORKDAY(DATE(VALUE(LEFT(TO_TEXT(A300),4)),VALUE(MID(TO_TEXT(A300),5,2)),VALUE(RIGHT(TO_TEXT(A300),2))),F300),""yyyymmdd""))"),"")</f>
        <v/>
      </c>
      <c r="H300" s="34" t="str">
        <f t="shared" si="1"/>
        <v/>
      </c>
      <c r="I300" s="35"/>
      <c r="J300" s="35"/>
      <c r="K300" s="35"/>
    </row>
    <row r="301">
      <c r="A301" s="33"/>
      <c r="G301" s="33" t="str">
        <f>IFERROR(__xludf.DUMMYFUNCTION("IF(OR(A301="""",F301=""""),"""",TEXT(WORKDAY(DATE(VALUE(LEFT(TO_TEXT(A301),4)),VALUE(MID(TO_TEXT(A301),5,2)),VALUE(RIGHT(TO_TEXT(A301),2))),F301),""yyyymmdd""))"),"")</f>
        <v/>
      </c>
      <c r="H301" s="34" t="str">
        <f t="shared" si="1"/>
        <v/>
      </c>
      <c r="I301" s="35"/>
      <c r="J301" s="35"/>
      <c r="K301" s="35"/>
    </row>
    <row r="302">
      <c r="A302" s="33"/>
      <c r="G302" s="33" t="str">
        <f>IFERROR(__xludf.DUMMYFUNCTION("IF(OR(A302="""",F302=""""),"""",TEXT(WORKDAY(DATE(VALUE(LEFT(TO_TEXT(A302),4)),VALUE(MID(TO_TEXT(A302),5,2)),VALUE(RIGHT(TO_TEXT(A302),2))),F302),""yyyymmdd""))"),"")</f>
        <v/>
      </c>
      <c r="H302" s="34" t="str">
        <f t="shared" si="1"/>
        <v/>
      </c>
      <c r="I302" s="35"/>
      <c r="J302" s="35"/>
      <c r="K302" s="35"/>
    </row>
    <row r="303">
      <c r="A303" s="33"/>
      <c r="G303" s="33" t="str">
        <f>IFERROR(__xludf.DUMMYFUNCTION("IF(OR(A303="""",F303=""""),"""",TEXT(WORKDAY(DATE(VALUE(LEFT(TO_TEXT(A303),4)),VALUE(MID(TO_TEXT(A303),5,2)),VALUE(RIGHT(TO_TEXT(A303),2))),F303),""yyyymmdd""))"),"")</f>
        <v/>
      </c>
      <c r="H303" s="34" t="str">
        <f t="shared" si="1"/>
        <v/>
      </c>
      <c r="I303" s="35"/>
      <c r="J303" s="35"/>
      <c r="K303" s="35"/>
    </row>
    <row r="304">
      <c r="A304" s="33"/>
      <c r="G304" s="33" t="str">
        <f>IFERROR(__xludf.DUMMYFUNCTION("IF(OR(A304="""",F304=""""),"""",TEXT(WORKDAY(DATE(VALUE(LEFT(TO_TEXT(A304),4)),VALUE(MID(TO_TEXT(A304),5,2)),VALUE(RIGHT(TO_TEXT(A304),2))),F304),""yyyymmdd""))"),"")</f>
        <v/>
      </c>
      <c r="H304" s="34" t="str">
        <f t="shared" si="1"/>
        <v/>
      </c>
      <c r="I304" s="35"/>
      <c r="J304" s="35"/>
      <c r="K304" s="35"/>
    </row>
    <row r="305">
      <c r="A305" s="33"/>
      <c r="G305" s="33" t="str">
        <f>IFERROR(__xludf.DUMMYFUNCTION("IF(OR(A305="""",F305=""""),"""",TEXT(WORKDAY(DATE(VALUE(LEFT(TO_TEXT(A305),4)),VALUE(MID(TO_TEXT(A305),5,2)),VALUE(RIGHT(TO_TEXT(A305),2))),F305),""yyyymmdd""))"),"")</f>
        <v/>
      </c>
      <c r="H305" s="34" t="str">
        <f t="shared" si="1"/>
        <v/>
      </c>
      <c r="I305" s="35"/>
      <c r="J305" s="35"/>
      <c r="K305" s="35"/>
    </row>
    <row r="306">
      <c r="A306" s="33"/>
      <c r="G306" s="33" t="str">
        <f>IFERROR(__xludf.DUMMYFUNCTION("IF(OR(A306="""",F306=""""),"""",TEXT(WORKDAY(DATE(VALUE(LEFT(TO_TEXT(A306),4)),VALUE(MID(TO_TEXT(A306),5,2)),VALUE(RIGHT(TO_TEXT(A306),2))),F306),""yyyymmdd""))"),"")</f>
        <v/>
      </c>
      <c r="H306" s="34" t="str">
        <f t="shared" si="1"/>
        <v/>
      </c>
      <c r="I306" s="35"/>
      <c r="J306" s="35"/>
      <c r="K306" s="35"/>
    </row>
    <row r="307">
      <c r="A307" s="33"/>
      <c r="G307" s="33" t="str">
        <f>IFERROR(__xludf.DUMMYFUNCTION("IF(OR(A307="""",F307=""""),"""",TEXT(WORKDAY(DATE(VALUE(LEFT(TO_TEXT(A307),4)),VALUE(MID(TO_TEXT(A307),5,2)),VALUE(RIGHT(TO_TEXT(A307),2))),F307),""yyyymmdd""))"),"")</f>
        <v/>
      </c>
      <c r="H307" s="34" t="str">
        <f t="shared" si="1"/>
        <v/>
      </c>
      <c r="I307" s="35"/>
      <c r="J307" s="35"/>
      <c r="K307" s="35"/>
    </row>
    <row r="308">
      <c r="A308" s="33"/>
      <c r="G308" s="33" t="str">
        <f>IFERROR(__xludf.DUMMYFUNCTION("IF(OR(A308="""",F308=""""),"""",TEXT(WORKDAY(DATE(VALUE(LEFT(TO_TEXT(A308),4)),VALUE(MID(TO_TEXT(A308),5,2)),VALUE(RIGHT(TO_TEXT(A308),2))),F308),""yyyymmdd""))"),"")</f>
        <v/>
      </c>
      <c r="H308" s="34" t="str">
        <f t="shared" si="1"/>
        <v/>
      </c>
      <c r="I308" s="35"/>
      <c r="J308" s="35"/>
      <c r="K308" s="35"/>
    </row>
    <row r="309">
      <c r="A309" s="33"/>
      <c r="G309" s="33" t="str">
        <f>IFERROR(__xludf.DUMMYFUNCTION("IF(OR(A309="""",F309=""""),"""",TEXT(WORKDAY(DATE(VALUE(LEFT(TO_TEXT(A309),4)),VALUE(MID(TO_TEXT(A309),5,2)),VALUE(RIGHT(TO_TEXT(A309),2))),F309),""yyyymmdd""))"),"")</f>
        <v/>
      </c>
      <c r="H309" s="34" t="str">
        <f t="shared" si="1"/>
        <v/>
      </c>
      <c r="I309" s="35"/>
      <c r="J309" s="35"/>
      <c r="K309" s="35"/>
    </row>
    <row r="310">
      <c r="A310" s="33"/>
      <c r="G310" s="33" t="str">
        <f>IFERROR(__xludf.DUMMYFUNCTION("IF(OR(A310="""",F310=""""),"""",TEXT(WORKDAY(DATE(VALUE(LEFT(TO_TEXT(A310),4)),VALUE(MID(TO_TEXT(A310),5,2)),VALUE(RIGHT(TO_TEXT(A310),2))),F310),""yyyymmdd""))"),"")</f>
        <v/>
      </c>
      <c r="H310" s="34" t="str">
        <f t="shared" si="1"/>
        <v/>
      </c>
      <c r="I310" s="35"/>
      <c r="J310" s="35"/>
      <c r="K310" s="35"/>
    </row>
    <row r="311">
      <c r="A311" s="33"/>
      <c r="G311" s="33" t="str">
        <f>IFERROR(__xludf.DUMMYFUNCTION("IF(OR(A311="""",F311=""""),"""",TEXT(WORKDAY(DATE(VALUE(LEFT(TO_TEXT(A311),4)),VALUE(MID(TO_TEXT(A311),5,2)),VALUE(RIGHT(TO_TEXT(A311),2))),F311),""yyyymmdd""))"),"")</f>
        <v/>
      </c>
      <c r="H311" s="34" t="str">
        <f t="shared" si="1"/>
        <v/>
      </c>
      <c r="I311" s="35"/>
      <c r="J311" s="35"/>
      <c r="K311" s="35"/>
    </row>
    <row r="312">
      <c r="A312" s="33"/>
      <c r="G312" s="33" t="str">
        <f>IFERROR(__xludf.DUMMYFUNCTION("IF(OR(A312="""",F312=""""),"""",TEXT(WORKDAY(DATE(VALUE(LEFT(TO_TEXT(A312),4)),VALUE(MID(TO_TEXT(A312),5,2)),VALUE(RIGHT(TO_TEXT(A312),2))),F312),""yyyymmdd""))"),"")</f>
        <v/>
      </c>
      <c r="H312" s="34" t="str">
        <f t="shared" si="1"/>
        <v/>
      </c>
      <c r="I312" s="35"/>
      <c r="J312" s="35"/>
      <c r="K312" s="35"/>
    </row>
    <row r="313">
      <c r="A313" s="33"/>
      <c r="G313" s="33" t="str">
        <f>IFERROR(__xludf.DUMMYFUNCTION("IF(OR(A313="""",F313=""""),"""",TEXT(WORKDAY(DATE(VALUE(LEFT(TO_TEXT(A313),4)),VALUE(MID(TO_TEXT(A313),5,2)),VALUE(RIGHT(TO_TEXT(A313),2))),F313),""yyyymmdd""))"),"")</f>
        <v/>
      </c>
      <c r="H313" s="34" t="str">
        <f t="shared" si="1"/>
        <v/>
      </c>
      <c r="I313" s="35"/>
      <c r="J313" s="35"/>
      <c r="K313" s="35"/>
    </row>
    <row r="314">
      <c r="A314" s="33"/>
      <c r="G314" s="33" t="str">
        <f>IFERROR(__xludf.DUMMYFUNCTION("IF(OR(A314="""",F314=""""),"""",TEXT(WORKDAY(DATE(VALUE(LEFT(TO_TEXT(A314),4)),VALUE(MID(TO_TEXT(A314),5,2)),VALUE(RIGHT(TO_TEXT(A314),2))),F314),""yyyymmdd""))"),"")</f>
        <v/>
      </c>
      <c r="H314" s="34" t="str">
        <f t="shared" si="1"/>
        <v/>
      </c>
      <c r="I314" s="35"/>
      <c r="J314" s="35"/>
      <c r="K314" s="35"/>
    </row>
    <row r="315">
      <c r="A315" s="33"/>
      <c r="G315" s="33" t="str">
        <f>IFERROR(__xludf.DUMMYFUNCTION("IF(OR(A315="""",F315=""""),"""",TEXT(WORKDAY(DATE(VALUE(LEFT(TO_TEXT(A315),4)),VALUE(MID(TO_TEXT(A315),5,2)),VALUE(RIGHT(TO_TEXT(A315),2))),F315),""yyyymmdd""))"),"")</f>
        <v/>
      </c>
      <c r="H315" s="34" t="str">
        <f t="shared" si="1"/>
        <v/>
      </c>
      <c r="I315" s="35"/>
      <c r="J315" s="35"/>
      <c r="K315" s="35"/>
    </row>
    <row r="316">
      <c r="A316" s="33"/>
      <c r="G316" s="33" t="str">
        <f>IFERROR(__xludf.DUMMYFUNCTION("IF(OR(A316="""",F316=""""),"""",TEXT(WORKDAY(DATE(VALUE(LEFT(TO_TEXT(A316),4)),VALUE(MID(TO_TEXT(A316),5,2)),VALUE(RIGHT(TO_TEXT(A316),2))),F316),""yyyymmdd""))"),"")</f>
        <v/>
      </c>
      <c r="H316" s="34" t="str">
        <f t="shared" si="1"/>
        <v/>
      </c>
      <c r="I316" s="35"/>
      <c r="J316" s="35"/>
      <c r="K316" s="35"/>
    </row>
    <row r="317">
      <c r="A317" s="33"/>
      <c r="G317" s="33" t="str">
        <f>IFERROR(__xludf.DUMMYFUNCTION("IF(OR(A317="""",F317=""""),"""",TEXT(WORKDAY(DATE(VALUE(LEFT(TO_TEXT(A317),4)),VALUE(MID(TO_TEXT(A317),5,2)),VALUE(RIGHT(TO_TEXT(A317),2))),F317),""yyyymmdd""))"),"")</f>
        <v/>
      </c>
      <c r="H317" s="34" t="str">
        <f t="shared" si="1"/>
        <v/>
      </c>
      <c r="I317" s="35"/>
      <c r="J317" s="35"/>
      <c r="K317" s="35"/>
    </row>
    <row r="318">
      <c r="A318" s="33"/>
      <c r="G318" s="33" t="str">
        <f>IFERROR(__xludf.DUMMYFUNCTION("IF(OR(A318="""",F318=""""),"""",TEXT(WORKDAY(DATE(VALUE(LEFT(TO_TEXT(A318),4)),VALUE(MID(TO_TEXT(A318),5,2)),VALUE(RIGHT(TO_TEXT(A318),2))),F318),""yyyymmdd""))"),"")</f>
        <v/>
      </c>
      <c r="H318" s="34" t="str">
        <f t="shared" si="1"/>
        <v/>
      </c>
      <c r="I318" s="35"/>
      <c r="J318" s="35"/>
      <c r="K318" s="35"/>
    </row>
    <row r="319">
      <c r="A319" s="33"/>
      <c r="G319" s="33" t="str">
        <f>IFERROR(__xludf.DUMMYFUNCTION("IF(OR(A319="""",F319=""""),"""",TEXT(WORKDAY(DATE(VALUE(LEFT(TO_TEXT(A319),4)),VALUE(MID(TO_TEXT(A319),5,2)),VALUE(RIGHT(TO_TEXT(A319),2))),F319),""yyyymmdd""))"),"")</f>
        <v/>
      </c>
      <c r="H319" s="34" t="str">
        <f t="shared" si="1"/>
        <v/>
      </c>
      <c r="I319" s="35"/>
      <c r="J319" s="35"/>
      <c r="K319" s="35"/>
    </row>
    <row r="320">
      <c r="A320" s="33"/>
      <c r="G320" s="33" t="str">
        <f>IFERROR(__xludf.DUMMYFUNCTION("IF(OR(A320="""",F320=""""),"""",TEXT(WORKDAY(DATE(VALUE(LEFT(TO_TEXT(A320),4)),VALUE(MID(TO_TEXT(A320),5,2)),VALUE(RIGHT(TO_TEXT(A320),2))),F320),""yyyymmdd""))"),"")</f>
        <v/>
      </c>
      <c r="H320" s="34" t="str">
        <f t="shared" si="1"/>
        <v/>
      </c>
      <c r="I320" s="35"/>
      <c r="J320" s="35"/>
      <c r="K320" s="35"/>
    </row>
    <row r="321">
      <c r="A321" s="33"/>
      <c r="G321" s="33" t="str">
        <f>IFERROR(__xludf.DUMMYFUNCTION("IF(OR(A321="""",F321=""""),"""",TEXT(WORKDAY(DATE(VALUE(LEFT(TO_TEXT(A321),4)),VALUE(MID(TO_TEXT(A321),5,2)),VALUE(RIGHT(TO_TEXT(A321),2))),F321),""yyyymmdd""))"),"")</f>
        <v/>
      </c>
      <c r="H321" s="34" t="str">
        <f t="shared" si="1"/>
        <v/>
      </c>
      <c r="I321" s="35"/>
      <c r="J321" s="35"/>
      <c r="K321" s="35"/>
    </row>
    <row r="322">
      <c r="A322" s="33"/>
      <c r="G322" s="33" t="str">
        <f>IFERROR(__xludf.DUMMYFUNCTION("IF(OR(A322="""",F322=""""),"""",TEXT(WORKDAY(DATE(VALUE(LEFT(TO_TEXT(A322),4)),VALUE(MID(TO_TEXT(A322),5,2)),VALUE(RIGHT(TO_TEXT(A322),2))),F322),""yyyymmdd""))"),"")</f>
        <v/>
      </c>
      <c r="H322" s="34" t="str">
        <f t="shared" si="1"/>
        <v/>
      </c>
      <c r="I322" s="35"/>
      <c r="J322" s="35"/>
      <c r="K322" s="35"/>
    </row>
    <row r="323">
      <c r="A323" s="33"/>
      <c r="G323" s="33" t="str">
        <f>IFERROR(__xludf.DUMMYFUNCTION("IF(OR(A323="""",F323=""""),"""",TEXT(WORKDAY(DATE(VALUE(LEFT(TO_TEXT(A323),4)),VALUE(MID(TO_TEXT(A323),5,2)),VALUE(RIGHT(TO_TEXT(A323),2))),F323),""yyyymmdd""))"),"")</f>
        <v/>
      </c>
      <c r="H323" s="34" t="str">
        <f t="shared" si="1"/>
        <v/>
      </c>
      <c r="I323" s="35"/>
      <c r="J323" s="35"/>
      <c r="K323" s="35"/>
    </row>
    <row r="324">
      <c r="A324" s="33"/>
      <c r="G324" s="33" t="str">
        <f>IFERROR(__xludf.DUMMYFUNCTION("IF(OR(A324="""",F324=""""),"""",TEXT(WORKDAY(DATE(VALUE(LEFT(TO_TEXT(A324),4)),VALUE(MID(TO_TEXT(A324),5,2)),VALUE(RIGHT(TO_TEXT(A324),2))),F324),""yyyymmdd""))"),"")</f>
        <v/>
      </c>
      <c r="H324" s="34" t="str">
        <f t="shared" si="1"/>
        <v/>
      </c>
      <c r="I324" s="35"/>
      <c r="J324" s="35"/>
      <c r="K324" s="35"/>
    </row>
    <row r="325">
      <c r="A325" s="33"/>
      <c r="G325" s="33" t="str">
        <f>IFERROR(__xludf.DUMMYFUNCTION("IF(OR(A325="""",F325=""""),"""",TEXT(WORKDAY(DATE(VALUE(LEFT(TO_TEXT(A325),4)),VALUE(MID(TO_TEXT(A325),5,2)),VALUE(RIGHT(TO_TEXT(A325),2))),F325),""yyyymmdd""))"),"")</f>
        <v/>
      </c>
      <c r="H325" s="34" t="str">
        <f t="shared" si="1"/>
        <v/>
      </c>
      <c r="I325" s="35"/>
      <c r="J325" s="35"/>
      <c r="K325" s="35"/>
    </row>
    <row r="326">
      <c r="A326" s="33"/>
      <c r="G326" s="33" t="str">
        <f>IFERROR(__xludf.DUMMYFUNCTION("IF(OR(A326="""",F326=""""),"""",TEXT(WORKDAY(DATE(VALUE(LEFT(TO_TEXT(A326),4)),VALUE(MID(TO_TEXT(A326),5,2)),VALUE(RIGHT(TO_TEXT(A326),2))),F326),""yyyymmdd""))"),"")</f>
        <v/>
      </c>
      <c r="H326" s="34" t="str">
        <f t="shared" si="1"/>
        <v/>
      </c>
      <c r="I326" s="35"/>
      <c r="J326" s="35"/>
      <c r="K326" s="35"/>
    </row>
    <row r="327">
      <c r="A327" s="33"/>
      <c r="G327" s="33" t="str">
        <f>IFERROR(__xludf.DUMMYFUNCTION("IF(OR(A327="""",F327=""""),"""",TEXT(WORKDAY(DATE(VALUE(LEFT(TO_TEXT(A327),4)),VALUE(MID(TO_TEXT(A327),5,2)),VALUE(RIGHT(TO_TEXT(A327),2))),F327),""yyyymmdd""))"),"")</f>
        <v/>
      </c>
      <c r="H327" s="34" t="str">
        <f t="shared" si="1"/>
        <v/>
      </c>
      <c r="I327" s="35"/>
      <c r="J327" s="35"/>
      <c r="K327" s="35"/>
    </row>
    <row r="328">
      <c r="A328" s="33"/>
      <c r="G328" s="33" t="str">
        <f>IFERROR(__xludf.DUMMYFUNCTION("IF(OR(A328="""",F328=""""),"""",TEXT(WORKDAY(DATE(VALUE(LEFT(TO_TEXT(A328),4)),VALUE(MID(TO_TEXT(A328),5,2)),VALUE(RIGHT(TO_TEXT(A328),2))),F328),""yyyymmdd""))"),"")</f>
        <v/>
      </c>
      <c r="H328" s="34" t="str">
        <f t="shared" si="1"/>
        <v/>
      </c>
      <c r="I328" s="35"/>
      <c r="J328" s="35"/>
      <c r="K328" s="35"/>
    </row>
    <row r="329">
      <c r="A329" s="33"/>
      <c r="G329" s="33" t="str">
        <f>IFERROR(__xludf.DUMMYFUNCTION("IF(OR(A329="""",F329=""""),"""",TEXT(WORKDAY(DATE(VALUE(LEFT(TO_TEXT(A329),4)),VALUE(MID(TO_TEXT(A329),5,2)),VALUE(RIGHT(TO_TEXT(A329),2))),F329),""yyyymmdd""))"),"")</f>
        <v/>
      </c>
      <c r="H329" s="34" t="str">
        <f t="shared" si="1"/>
        <v/>
      </c>
      <c r="I329" s="35"/>
      <c r="J329" s="35"/>
      <c r="K329" s="35"/>
    </row>
    <row r="330">
      <c r="A330" s="33"/>
      <c r="G330" s="33" t="str">
        <f>IFERROR(__xludf.DUMMYFUNCTION("IF(OR(A330="""",F330=""""),"""",TEXT(WORKDAY(DATE(VALUE(LEFT(TO_TEXT(A330),4)),VALUE(MID(TO_TEXT(A330),5,2)),VALUE(RIGHT(TO_TEXT(A330),2))),F330),""yyyymmdd""))"),"")</f>
        <v/>
      </c>
      <c r="H330" s="34" t="str">
        <f t="shared" si="1"/>
        <v/>
      </c>
      <c r="I330" s="35"/>
      <c r="J330" s="35"/>
      <c r="K330" s="35"/>
    </row>
    <row r="331">
      <c r="A331" s="33"/>
      <c r="G331" s="33" t="str">
        <f>IFERROR(__xludf.DUMMYFUNCTION("IF(OR(A331="""",F331=""""),"""",TEXT(WORKDAY(DATE(VALUE(LEFT(TO_TEXT(A331),4)),VALUE(MID(TO_TEXT(A331),5,2)),VALUE(RIGHT(TO_TEXT(A331),2))),F331),""yyyymmdd""))"),"")</f>
        <v/>
      </c>
      <c r="H331" s="34" t="str">
        <f t="shared" si="1"/>
        <v/>
      </c>
      <c r="I331" s="35"/>
      <c r="J331" s="35"/>
      <c r="K331" s="35"/>
    </row>
    <row r="332">
      <c r="A332" s="33"/>
      <c r="G332" s="33" t="str">
        <f>IFERROR(__xludf.DUMMYFUNCTION("IF(OR(A332="""",F332=""""),"""",TEXT(WORKDAY(DATE(VALUE(LEFT(TO_TEXT(A332),4)),VALUE(MID(TO_TEXT(A332),5,2)),VALUE(RIGHT(TO_TEXT(A332),2))),F332),""yyyymmdd""))"),"")</f>
        <v/>
      </c>
      <c r="H332" s="34" t="str">
        <f t="shared" si="1"/>
        <v/>
      </c>
      <c r="I332" s="35"/>
      <c r="J332" s="35"/>
      <c r="K332" s="35"/>
    </row>
    <row r="333">
      <c r="A333" s="33"/>
      <c r="G333" s="33" t="str">
        <f>IFERROR(__xludf.DUMMYFUNCTION("IF(OR(A333="""",F333=""""),"""",TEXT(WORKDAY(DATE(VALUE(LEFT(TO_TEXT(A333),4)),VALUE(MID(TO_TEXT(A333),5,2)),VALUE(RIGHT(TO_TEXT(A333),2))),F333),""yyyymmdd""))"),"")</f>
        <v/>
      </c>
      <c r="H333" s="34" t="str">
        <f t="shared" si="1"/>
        <v/>
      </c>
      <c r="I333" s="35"/>
      <c r="J333" s="35"/>
      <c r="K333" s="35"/>
    </row>
    <row r="334">
      <c r="A334" s="33"/>
      <c r="G334" s="33" t="str">
        <f>IFERROR(__xludf.DUMMYFUNCTION("IF(OR(A334="""",F334=""""),"""",TEXT(WORKDAY(DATE(VALUE(LEFT(TO_TEXT(A334),4)),VALUE(MID(TO_TEXT(A334),5,2)),VALUE(RIGHT(TO_TEXT(A334),2))),F334),""yyyymmdd""))"),"")</f>
        <v/>
      </c>
      <c r="H334" s="34" t="str">
        <f t="shared" si="1"/>
        <v/>
      </c>
      <c r="I334" s="35"/>
      <c r="J334" s="35"/>
      <c r="K334" s="35"/>
    </row>
    <row r="335">
      <c r="A335" s="33"/>
      <c r="G335" s="33" t="str">
        <f>IFERROR(__xludf.DUMMYFUNCTION("IF(OR(A335="""",F335=""""),"""",TEXT(WORKDAY(DATE(VALUE(LEFT(TO_TEXT(A335),4)),VALUE(MID(TO_TEXT(A335),5,2)),VALUE(RIGHT(TO_TEXT(A335),2))),F335),""yyyymmdd""))"),"")</f>
        <v/>
      </c>
      <c r="H335" s="34" t="str">
        <f t="shared" si="1"/>
        <v/>
      </c>
      <c r="I335" s="35"/>
      <c r="J335" s="35"/>
      <c r="K335" s="35"/>
    </row>
    <row r="336">
      <c r="A336" s="33"/>
      <c r="G336" s="33" t="str">
        <f>IFERROR(__xludf.DUMMYFUNCTION("IF(OR(A336="""",F336=""""),"""",TEXT(WORKDAY(DATE(VALUE(LEFT(TO_TEXT(A336),4)),VALUE(MID(TO_TEXT(A336),5,2)),VALUE(RIGHT(TO_TEXT(A336),2))),F336),""yyyymmdd""))"),"")</f>
        <v/>
      </c>
      <c r="H336" s="34" t="str">
        <f t="shared" si="1"/>
        <v/>
      </c>
      <c r="I336" s="35"/>
      <c r="J336" s="35"/>
      <c r="K336" s="35"/>
    </row>
    <row r="337">
      <c r="A337" s="33"/>
      <c r="G337" s="33" t="str">
        <f>IFERROR(__xludf.DUMMYFUNCTION("IF(OR(A337="""",F337=""""),"""",TEXT(WORKDAY(DATE(VALUE(LEFT(TO_TEXT(A337),4)),VALUE(MID(TO_TEXT(A337),5,2)),VALUE(RIGHT(TO_TEXT(A337),2))),F337),""yyyymmdd""))"),"")</f>
        <v/>
      </c>
      <c r="H337" s="34" t="str">
        <f t="shared" si="1"/>
        <v/>
      </c>
      <c r="I337" s="35"/>
      <c r="J337" s="35"/>
      <c r="K337" s="35"/>
    </row>
    <row r="338">
      <c r="A338" s="33"/>
      <c r="G338" s="33" t="str">
        <f>IFERROR(__xludf.DUMMYFUNCTION("IF(OR(A338="""",F338=""""),"""",TEXT(WORKDAY(DATE(VALUE(LEFT(TO_TEXT(A338),4)),VALUE(MID(TO_TEXT(A338),5,2)),VALUE(RIGHT(TO_TEXT(A338),2))),F338),""yyyymmdd""))"),"")</f>
        <v/>
      </c>
      <c r="H338" s="34" t="str">
        <f t="shared" si="1"/>
        <v/>
      </c>
      <c r="I338" s="35"/>
      <c r="J338" s="35"/>
      <c r="K338" s="35"/>
    </row>
    <row r="339">
      <c r="A339" s="33"/>
      <c r="G339" s="33" t="str">
        <f>IFERROR(__xludf.DUMMYFUNCTION("IF(OR(A339="""",F339=""""),"""",TEXT(WORKDAY(DATE(VALUE(LEFT(TO_TEXT(A339),4)),VALUE(MID(TO_TEXT(A339),5,2)),VALUE(RIGHT(TO_TEXT(A339),2))),F339),""yyyymmdd""))"),"")</f>
        <v/>
      </c>
      <c r="H339" s="34" t="str">
        <f t="shared" si="1"/>
        <v/>
      </c>
      <c r="I339" s="35"/>
      <c r="J339" s="35"/>
      <c r="K339" s="35"/>
    </row>
    <row r="340">
      <c r="A340" s="33"/>
      <c r="G340" s="33" t="str">
        <f>IFERROR(__xludf.DUMMYFUNCTION("IF(OR(A340="""",F340=""""),"""",TEXT(WORKDAY(DATE(VALUE(LEFT(TO_TEXT(A340),4)),VALUE(MID(TO_TEXT(A340),5,2)),VALUE(RIGHT(TO_TEXT(A340),2))),F340),""yyyymmdd""))"),"")</f>
        <v/>
      </c>
      <c r="H340" s="34" t="str">
        <f t="shared" si="1"/>
        <v/>
      </c>
      <c r="I340" s="35"/>
      <c r="J340" s="35"/>
      <c r="K340" s="35"/>
    </row>
    <row r="341">
      <c r="A341" s="33"/>
      <c r="G341" s="33" t="str">
        <f>IFERROR(__xludf.DUMMYFUNCTION("IF(OR(A341="""",F341=""""),"""",TEXT(WORKDAY(DATE(VALUE(LEFT(TO_TEXT(A341),4)),VALUE(MID(TO_TEXT(A341),5,2)),VALUE(RIGHT(TO_TEXT(A341),2))),F341),""yyyymmdd""))"),"")</f>
        <v/>
      </c>
      <c r="H341" s="34" t="str">
        <f t="shared" si="1"/>
        <v/>
      </c>
      <c r="I341" s="35"/>
      <c r="J341" s="35"/>
      <c r="K341" s="35"/>
    </row>
    <row r="342">
      <c r="A342" s="33"/>
      <c r="G342" s="33" t="str">
        <f>IFERROR(__xludf.DUMMYFUNCTION("IF(OR(A342="""",F342=""""),"""",TEXT(WORKDAY(DATE(VALUE(LEFT(TO_TEXT(A342),4)),VALUE(MID(TO_TEXT(A342),5,2)),VALUE(RIGHT(TO_TEXT(A342),2))),F342),""yyyymmdd""))"),"")</f>
        <v/>
      </c>
      <c r="H342" s="34" t="str">
        <f t="shared" si="1"/>
        <v/>
      </c>
      <c r="I342" s="35"/>
      <c r="J342" s="35"/>
      <c r="K342" s="35"/>
    </row>
    <row r="343">
      <c r="A343" s="33"/>
      <c r="G343" s="33" t="str">
        <f>IFERROR(__xludf.DUMMYFUNCTION("IF(OR(A343="""",F343=""""),"""",TEXT(WORKDAY(DATE(VALUE(LEFT(TO_TEXT(A343),4)),VALUE(MID(TO_TEXT(A343),5,2)),VALUE(RIGHT(TO_TEXT(A343),2))),F343),""yyyymmdd""))"),"")</f>
        <v/>
      </c>
      <c r="H343" s="34" t="str">
        <f t="shared" si="1"/>
        <v/>
      </c>
      <c r="I343" s="35"/>
      <c r="J343" s="35"/>
      <c r="K343" s="35"/>
    </row>
    <row r="344">
      <c r="A344" s="33"/>
      <c r="G344" s="33" t="str">
        <f>IFERROR(__xludf.DUMMYFUNCTION("IF(OR(A344="""",F344=""""),"""",TEXT(WORKDAY(DATE(VALUE(LEFT(TO_TEXT(A344),4)),VALUE(MID(TO_TEXT(A344),5,2)),VALUE(RIGHT(TO_TEXT(A344),2))),F344),""yyyymmdd""))"),"")</f>
        <v/>
      </c>
      <c r="H344" s="34" t="str">
        <f t="shared" si="1"/>
        <v/>
      </c>
      <c r="I344" s="35"/>
      <c r="J344" s="35"/>
      <c r="K344" s="35"/>
    </row>
    <row r="345">
      <c r="A345" s="33"/>
      <c r="G345" s="33" t="str">
        <f>IFERROR(__xludf.DUMMYFUNCTION("IF(OR(A345="""",F345=""""),"""",TEXT(WORKDAY(DATE(VALUE(LEFT(TO_TEXT(A345),4)),VALUE(MID(TO_TEXT(A345),5,2)),VALUE(RIGHT(TO_TEXT(A345),2))),F345),""yyyymmdd""))"),"")</f>
        <v/>
      </c>
      <c r="H345" s="34" t="str">
        <f t="shared" si="1"/>
        <v/>
      </c>
      <c r="I345" s="35"/>
      <c r="J345" s="35"/>
      <c r="K345" s="35"/>
    </row>
    <row r="346">
      <c r="A346" s="33"/>
      <c r="G346" s="33" t="str">
        <f>IFERROR(__xludf.DUMMYFUNCTION("IF(OR(A346="""",F346=""""),"""",TEXT(WORKDAY(DATE(VALUE(LEFT(TO_TEXT(A346),4)),VALUE(MID(TO_TEXT(A346),5,2)),VALUE(RIGHT(TO_TEXT(A346),2))),F346),""yyyymmdd""))"),"")</f>
        <v/>
      </c>
      <c r="H346" s="34" t="str">
        <f t="shared" si="1"/>
        <v/>
      </c>
      <c r="I346" s="35"/>
      <c r="J346" s="35"/>
      <c r="K346" s="35"/>
    </row>
    <row r="347">
      <c r="A347" s="33"/>
      <c r="G347" s="33" t="str">
        <f>IFERROR(__xludf.DUMMYFUNCTION("IF(OR(A347="""",F347=""""),"""",TEXT(WORKDAY(DATE(VALUE(LEFT(TO_TEXT(A347),4)),VALUE(MID(TO_TEXT(A347),5,2)),VALUE(RIGHT(TO_TEXT(A347),2))),F347),""yyyymmdd""))"),"")</f>
        <v/>
      </c>
      <c r="H347" s="34" t="str">
        <f t="shared" si="1"/>
        <v/>
      </c>
      <c r="I347" s="35"/>
      <c r="J347" s="35"/>
      <c r="K347" s="35"/>
    </row>
    <row r="348">
      <c r="A348" s="33"/>
      <c r="G348" s="33" t="str">
        <f>IFERROR(__xludf.DUMMYFUNCTION("IF(OR(A348="""",F348=""""),"""",TEXT(WORKDAY(DATE(VALUE(LEFT(TO_TEXT(A348),4)),VALUE(MID(TO_TEXT(A348),5,2)),VALUE(RIGHT(TO_TEXT(A348),2))),F348),""yyyymmdd""))"),"")</f>
        <v/>
      </c>
      <c r="H348" s="34" t="str">
        <f t="shared" si="1"/>
        <v/>
      </c>
      <c r="I348" s="35"/>
      <c r="J348" s="35"/>
      <c r="K348" s="35"/>
    </row>
    <row r="349">
      <c r="A349" s="33"/>
      <c r="G349" s="33" t="str">
        <f>IFERROR(__xludf.DUMMYFUNCTION("IF(OR(A349="""",F349=""""),"""",TEXT(WORKDAY(DATE(VALUE(LEFT(TO_TEXT(A349),4)),VALUE(MID(TO_TEXT(A349),5,2)),VALUE(RIGHT(TO_TEXT(A349),2))),F349),""yyyymmdd""))"),"")</f>
        <v/>
      </c>
      <c r="H349" s="34" t="str">
        <f t="shared" si="1"/>
        <v/>
      </c>
      <c r="I349" s="35"/>
      <c r="J349" s="35"/>
      <c r="K349" s="35"/>
    </row>
    <row r="350">
      <c r="A350" s="33"/>
      <c r="G350" s="33" t="str">
        <f>IFERROR(__xludf.DUMMYFUNCTION("IF(OR(A350="""",F350=""""),"""",TEXT(WORKDAY(DATE(VALUE(LEFT(TO_TEXT(A350),4)),VALUE(MID(TO_TEXT(A350),5,2)),VALUE(RIGHT(TO_TEXT(A350),2))),F350),""yyyymmdd""))"),"")</f>
        <v/>
      </c>
      <c r="H350" s="34" t="str">
        <f t="shared" si="1"/>
        <v/>
      </c>
      <c r="I350" s="35"/>
      <c r="J350" s="35"/>
      <c r="K350" s="35"/>
    </row>
    <row r="351">
      <c r="A351" s="33"/>
      <c r="G351" s="33" t="str">
        <f>IFERROR(__xludf.DUMMYFUNCTION("IF(OR(A351="""",F351=""""),"""",TEXT(WORKDAY(DATE(VALUE(LEFT(TO_TEXT(A351),4)),VALUE(MID(TO_TEXT(A351),5,2)),VALUE(RIGHT(TO_TEXT(A351),2))),F351),""yyyymmdd""))"),"")</f>
        <v/>
      </c>
      <c r="H351" s="34" t="str">
        <f t="shared" si="1"/>
        <v/>
      </c>
      <c r="I351" s="35"/>
      <c r="J351" s="35"/>
      <c r="K351" s="35"/>
    </row>
    <row r="352">
      <c r="A352" s="33"/>
      <c r="G352" s="33" t="str">
        <f>IFERROR(__xludf.DUMMYFUNCTION("IF(OR(A352="""",F352=""""),"""",TEXT(WORKDAY(DATE(VALUE(LEFT(TO_TEXT(A352),4)),VALUE(MID(TO_TEXT(A352),5,2)),VALUE(RIGHT(TO_TEXT(A352),2))),F352),""yyyymmdd""))"),"")</f>
        <v/>
      </c>
      <c r="H352" s="34" t="str">
        <f t="shared" si="1"/>
        <v/>
      </c>
      <c r="I352" s="35"/>
      <c r="J352" s="35"/>
      <c r="K352" s="35"/>
    </row>
    <row r="353">
      <c r="A353" s="33"/>
      <c r="G353" s="33" t="str">
        <f>IFERROR(__xludf.DUMMYFUNCTION("IF(OR(A353="""",F353=""""),"""",TEXT(WORKDAY(DATE(VALUE(LEFT(TO_TEXT(A353),4)),VALUE(MID(TO_TEXT(A353),5,2)),VALUE(RIGHT(TO_TEXT(A353),2))),F353),""yyyymmdd""))"),"")</f>
        <v/>
      </c>
      <c r="H353" s="34" t="str">
        <f t="shared" si="1"/>
        <v/>
      </c>
      <c r="I353" s="35"/>
      <c r="J353" s="35"/>
      <c r="K353" s="35"/>
    </row>
    <row r="354">
      <c r="A354" s="33"/>
      <c r="G354" s="33" t="str">
        <f>IFERROR(__xludf.DUMMYFUNCTION("IF(OR(A354="""",F354=""""),"""",TEXT(WORKDAY(DATE(VALUE(LEFT(TO_TEXT(A354),4)),VALUE(MID(TO_TEXT(A354),5,2)),VALUE(RIGHT(TO_TEXT(A354),2))),F354),""yyyymmdd""))"),"")</f>
        <v/>
      </c>
      <c r="H354" s="34" t="str">
        <f t="shared" si="1"/>
        <v/>
      </c>
      <c r="I354" s="35"/>
      <c r="J354" s="35"/>
      <c r="K354" s="35"/>
    </row>
    <row r="355">
      <c r="A355" s="33"/>
      <c r="G355" s="33" t="str">
        <f>IFERROR(__xludf.DUMMYFUNCTION("IF(OR(A355="""",F355=""""),"""",TEXT(WORKDAY(DATE(VALUE(LEFT(TO_TEXT(A355),4)),VALUE(MID(TO_TEXT(A355),5,2)),VALUE(RIGHT(TO_TEXT(A355),2))),F355),""yyyymmdd""))"),"")</f>
        <v/>
      </c>
      <c r="H355" s="34" t="str">
        <f t="shared" si="1"/>
        <v/>
      </c>
      <c r="I355" s="35"/>
      <c r="J355" s="35"/>
      <c r="K355" s="35"/>
    </row>
    <row r="356">
      <c r="A356" s="33"/>
      <c r="G356" s="33" t="str">
        <f>IFERROR(__xludf.DUMMYFUNCTION("IF(OR(A356="""",F356=""""),"""",TEXT(WORKDAY(DATE(VALUE(LEFT(TO_TEXT(A356),4)),VALUE(MID(TO_TEXT(A356),5,2)),VALUE(RIGHT(TO_TEXT(A356),2))),F356),""yyyymmdd""))"),"")</f>
        <v/>
      </c>
      <c r="H356" s="34" t="str">
        <f t="shared" si="1"/>
        <v/>
      </c>
      <c r="I356" s="35"/>
      <c r="J356" s="35"/>
      <c r="K356" s="35"/>
    </row>
    <row r="357">
      <c r="A357" s="33"/>
      <c r="G357" s="33" t="str">
        <f>IFERROR(__xludf.DUMMYFUNCTION("IF(OR(A357="""",F357=""""),"""",TEXT(WORKDAY(DATE(VALUE(LEFT(TO_TEXT(A357),4)),VALUE(MID(TO_TEXT(A357),5,2)),VALUE(RIGHT(TO_TEXT(A357),2))),F357),""yyyymmdd""))"),"")</f>
        <v/>
      </c>
      <c r="H357" s="34" t="str">
        <f t="shared" si="1"/>
        <v/>
      </c>
      <c r="I357" s="35"/>
      <c r="J357" s="35"/>
      <c r="K357" s="35"/>
    </row>
    <row r="358">
      <c r="A358" s="33"/>
      <c r="G358" s="33" t="str">
        <f>IFERROR(__xludf.DUMMYFUNCTION("IF(OR(A358="""",F358=""""),"""",TEXT(WORKDAY(DATE(VALUE(LEFT(TO_TEXT(A358),4)),VALUE(MID(TO_TEXT(A358),5,2)),VALUE(RIGHT(TO_TEXT(A358),2))),F358),""yyyymmdd""))"),"")</f>
        <v/>
      </c>
      <c r="H358" s="34" t="str">
        <f t="shared" si="1"/>
        <v/>
      </c>
      <c r="I358" s="35"/>
      <c r="J358" s="35"/>
      <c r="K358" s="35"/>
    </row>
    <row r="359">
      <c r="A359" s="33"/>
      <c r="G359" s="33" t="str">
        <f>IFERROR(__xludf.DUMMYFUNCTION("IF(OR(A359="""",F359=""""),"""",TEXT(WORKDAY(DATE(VALUE(LEFT(TO_TEXT(A359),4)),VALUE(MID(TO_TEXT(A359),5,2)),VALUE(RIGHT(TO_TEXT(A359),2))),F359),""yyyymmdd""))"),"")</f>
        <v/>
      </c>
      <c r="H359" s="34" t="str">
        <f t="shared" si="1"/>
        <v/>
      </c>
      <c r="I359" s="35"/>
      <c r="J359" s="35"/>
      <c r="K359" s="35"/>
    </row>
    <row r="360">
      <c r="A360" s="33"/>
      <c r="G360" s="33" t="str">
        <f>IFERROR(__xludf.DUMMYFUNCTION("IF(OR(A360="""",F360=""""),"""",TEXT(WORKDAY(DATE(VALUE(LEFT(TO_TEXT(A360),4)),VALUE(MID(TO_TEXT(A360),5,2)),VALUE(RIGHT(TO_TEXT(A360),2))),F360),""yyyymmdd""))"),"")</f>
        <v/>
      </c>
      <c r="H360" s="34" t="str">
        <f t="shared" si="1"/>
        <v/>
      </c>
      <c r="I360" s="35"/>
      <c r="J360" s="35"/>
      <c r="K360" s="35"/>
    </row>
    <row r="361">
      <c r="A361" s="33"/>
      <c r="G361" s="33" t="str">
        <f>IFERROR(__xludf.DUMMYFUNCTION("IF(OR(A361="""",F361=""""),"""",TEXT(WORKDAY(DATE(VALUE(LEFT(TO_TEXT(A361),4)),VALUE(MID(TO_TEXT(A361),5,2)),VALUE(RIGHT(TO_TEXT(A361),2))),F361),""yyyymmdd""))"),"")</f>
        <v/>
      </c>
      <c r="H361" s="34" t="str">
        <f t="shared" si="1"/>
        <v/>
      </c>
      <c r="I361" s="35"/>
      <c r="J361" s="35"/>
      <c r="K361" s="35"/>
    </row>
    <row r="362">
      <c r="A362" s="33"/>
      <c r="G362" s="33" t="str">
        <f>IFERROR(__xludf.DUMMYFUNCTION("IF(OR(A362="""",F362=""""),"""",TEXT(WORKDAY(DATE(VALUE(LEFT(TO_TEXT(A362),4)),VALUE(MID(TO_TEXT(A362),5,2)),VALUE(RIGHT(TO_TEXT(A362),2))),F362),""yyyymmdd""))"),"")</f>
        <v/>
      </c>
      <c r="H362" s="34" t="str">
        <f t="shared" si="1"/>
        <v/>
      </c>
      <c r="I362" s="35"/>
      <c r="J362" s="35"/>
      <c r="K362" s="35"/>
    </row>
    <row r="363">
      <c r="A363" s="33"/>
      <c r="G363" s="33" t="str">
        <f>IFERROR(__xludf.DUMMYFUNCTION("IF(OR(A363="""",F363=""""),"""",TEXT(WORKDAY(DATE(VALUE(LEFT(TO_TEXT(A363),4)),VALUE(MID(TO_TEXT(A363),5,2)),VALUE(RIGHT(TO_TEXT(A363),2))),F363),""yyyymmdd""))"),"")</f>
        <v/>
      </c>
      <c r="H363" s="34" t="str">
        <f t="shared" si="1"/>
        <v/>
      </c>
      <c r="I363" s="35"/>
      <c r="J363" s="35"/>
      <c r="K363" s="35"/>
    </row>
    <row r="364">
      <c r="A364" s="33"/>
      <c r="G364" s="33" t="str">
        <f>IFERROR(__xludf.DUMMYFUNCTION("IF(OR(A364="""",F364=""""),"""",TEXT(WORKDAY(DATE(VALUE(LEFT(TO_TEXT(A364),4)),VALUE(MID(TO_TEXT(A364),5,2)),VALUE(RIGHT(TO_TEXT(A364),2))),F364),""yyyymmdd""))"),"")</f>
        <v/>
      </c>
      <c r="H364" s="34" t="str">
        <f t="shared" si="1"/>
        <v/>
      </c>
      <c r="I364" s="35"/>
      <c r="J364" s="35"/>
      <c r="K364" s="35"/>
    </row>
    <row r="365">
      <c r="A365" s="33"/>
      <c r="G365" s="33" t="str">
        <f>IFERROR(__xludf.DUMMYFUNCTION("IF(OR(A365="""",F365=""""),"""",TEXT(WORKDAY(DATE(VALUE(LEFT(TO_TEXT(A365),4)),VALUE(MID(TO_TEXT(A365),5,2)),VALUE(RIGHT(TO_TEXT(A365),2))),F365),""yyyymmdd""))"),"")</f>
        <v/>
      </c>
      <c r="H365" s="34" t="str">
        <f t="shared" si="1"/>
        <v/>
      </c>
      <c r="I365" s="35"/>
      <c r="J365" s="35"/>
      <c r="K365" s="35"/>
    </row>
    <row r="366">
      <c r="A366" s="33"/>
      <c r="G366" s="33" t="str">
        <f>IFERROR(__xludf.DUMMYFUNCTION("IF(OR(A366="""",F366=""""),"""",TEXT(WORKDAY(DATE(VALUE(LEFT(TO_TEXT(A366),4)),VALUE(MID(TO_TEXT(A366),5,2)),VALUE(RIGHT(TO_TEXT(A366),2))),F366),""yyyymmdd""))"),"")</f>
        <v/>
      </c>
      <c r="H366" s="34" t="str">
        <f t="shared" si="1"/>
        <v/>
      </c>
      <c r="I366" s="35"/>
      <c r="J366" s="35"/>
      <c r="K366" s="35"/>
    </row>
    <row r="367">
      <c r="A367" s="33"/>
      <c r="G367" s="33" t="str">
        <f>IFERROR(__xludf.DUMMYFUNCTION("IF(OR(A367="""",F367=""""),"""",TEXT(WORKDAY(DATE(VALUE(LEFT(TO_TEXT(A367),4)),VALUE(MID(TO_TEXT(A367),5,2)),VALUE(RIGHT(TO_TEXT(A367),2))),F367),""yyyymmdd""))"),"")</f>
        <v/>
      </c>
      <c r="H367" s="34" t="str">
        <f t="shared" si="1"/>
        <v/>
      </c>
      <c r="I367" s="35"/>
      <c r="J367" s="35"/>
      <c r="K367" s="35"/>
    </row>
    <row r="368">
      <c r="A368" s="33"/>
      <c r="G368" s="33" t="str">
        <f>IFERROR(__xludf.DUMMYFUNCTION("IF(OR(A368="""",F368=""""),"""",TEXT(WORKDAY(DATE(VALUE(LEFT(TO_TEXT(A368),4)),VALUE(MID(TO_TEXT(A368),5,2)),VALUE(RIGHT(TO_TEXT(A368),2))),F368),""yyyymmdd""))"),"")</f>
        <v/>
      </c>
      <c r="H368" s="34" t="str">
        <f t="shared" si="1"/>
        <v/>
      </c>
      <c r="I368" s="35"/>
      <c r="J368" s="35"/>
      <c r="K368" s="35"/>
    </row>
    <row r="369">
      <c r="A369" s="33"/>
      <c r="G369" s="33" t="str">
        <f>IFERROR(__xludf.DUMMYFUNCTION("IF(OR(A369="""",F369=""""),"""",TEXT(WORKDAY(DATE(VALUE(LEFT(TO_TEXT(A369),4)),VALUE(MID(TO_TEXT(A369),5,2)),VALUE(RIGHT(TO_TEXT(A369),2))),F369),""yyyymmdd""))"),"")</f>
        <v/>
      </c>
      <c r="H369" s="34" t="str">
        <f t="shared" si="1"/>
        <v/>
      </c>
      <c r="I369" s="35"/>
      <c r="J369" s="35"/>
      <c r="K369" s="35"/>
    </row>
    <row r="370">
      <c r="A370" s="33"/>
      <c r="G370" s="33" t="str">
        <f>IFERROR(__xludf.DUMMYFUNCTION("IF(OR(A370="""",F370=""""),"""",TEXT(WORKDAY(DATE(VALUE(LEFT(TO_TEXT(A370),4)),VALUE(MID(TO_TEXT(A370),5,2)),VALUE(RIGHT(TO_TEXT(A370),2))),F370),""yyyymmdd""))"),"")</f>
        <v/>
      </c>
      <c r="H370" s="34" t="str">
        <f t="shared" si="1"/>
        <v/>
      </c>
      <c r="I370" s="35"/>
      <c r="J370" s="35"/>
      <c r="K370" s="35"/>
    </row>
    <row r="371">
      <c r="A371" s="33"/>
      <c r="G371" s="33" t="str">
        <f>IFERROR(__xludf.DUMMYFUNCTION("IF(OR(A371="""",F371=""""),"""",TEXT(WORKDAY(DATE(VALUE(LEFT(TO_TEXT(A371),4)),VALUE(MID(TO_TEXT(A371),5,2)),VALUE(RIGHT(TO_TEXT(A371),2))),F371),""yyyymmdd""))"),"")</f>
        <v/>
      </c>
      <c r="H371" s="34" t="str">
        <f t="shared" si="1"/>
        <v/>
      </c>
      <c r="I371" s="35"/>
      <c r="J371" s="35"/>
      <c r="K371" s="35"/>
    </row>
    <row r="372">
      <c r="A372" s="33"/>
      <c r="G372" s="33" t="str">
        <f>IFERROR(__xludf.DUMMYFUNCTION("IF(OR(A372="""",F372=""""),"""",TEXT(WORKDAY(DATE(VALUE(LEFT(TO_TEXT(A372),4)),VALUE(MID(TO_TEXT(A372),5,2)),VALUE(RIGHT(TO_TEXT(A372),2))),F372),""yyyymmdd""))"),"")</f>
        <v/>
      </c>
      <c r="H372" s="34" t="str">
        <f t="shared" si="1"/>
        <v/>
      </c>
      <c r="I372" s="35"/>
      <c r="J372" s="35"/>
      <c r="K372" s="35"/>
    </row>
    <row r="373">
      <c r="A373" s="33"/>
      <c r="G373" s="33" t="str">
        <f>IFERROR(__xludf.DUMMYFUNCTION("IF(OR(A373="""",F373=""""),"""",TEXT(WORKDAY(DATE(VALUE(LEFT(TO_TEXT(A373),4)),VALUE(MID(TO_TEXT(A373),5,2)),VALUE(RIGHT(TO_TEXT(A373),2))),F373),""yyyymmdd""))"),"")</f>
        <v/>
      </c>
      <c r="H373" s="34" t="str">
        <f t="shared" si="1"/>
        <v/>
      </c>
      <c r="I373" s="35"/>
      <c r="J373" s="35"/>
      <c r="K373" s="35"/>
    </row>
    <row r="374">
      <c r="A374" s="33"/>
      <c r="G374" s="33" t="str">
        <f>IFERROR(__xludf.DUMMYFUNCTION("IF(OR(A374="""",F374=""""),"""",TEXT(WORKDAY(DATE(VALUE(LEFT(TO_TEXT(A374),4)),VALUE(MID(TO_TEXT(A374),5,2)),VALUE(RIGHT(TO_TEXT(A374),2))),F374),""yyyymmdd""))"),"")</f>
        <v/>
      </c>
      <c r="H374" s="34" t="str">
        <f t="shared" si="1"/>
        <v/>
      </c>
      <c r="I374" s="35"/>
      <c r="J374" s="35"/>
      <c r="K374" s="35"/>
    </row>
    <row r="375">
      <c r="A375" s="33"/>
      <c r="G375" s="33" t="str">
        <f>IFERROR(__xludf.DUMMYFUNCTION("IF(OR(A375="""",F375=""""),"""",TEXT(WORKDAY(DATE(VALUE(LEFT(TO_TEXT(A375),4)),VALUE(MID(TO_TEXT(A375),5,2)),VALUE(RIGHT(TO_TEXT(A375),2))),F375),""yyyymmdd""))"),"")</f>
        <v/>
      </c>
      <c r="H375" s="34" t="str">
        <f t="shared" si="1"/>
        <v/>
      </c>
      <c r="I375" s="35"/>
      <c r="J375" s="35"/>
      <c r="K375" s="35"/>
    </row>
    <row r="376">
      <c r="A376" s="33"/>
      <c r="G376" s="33" t="str">
        <f>IFERROR(__xludf.DUMMYFUNCTION("IF(OR(A376="""",F376=""""),"""",TEXT(WORKDAY(DATE(VALUE(LEFT(TO_TEXT(A376),4)),VALUE(MID(TO_TEXT(A376),5,2)),VALUE(RIGHT(TO_TEXT(A376),2))),F376),""yyyymmdd""))"),"")</f>
        <v/>
      </c>
      <c r="H376" s="34" t="str">
        <f t="shared" si="1"/>
        <v/>
      </c>
      <c r="I376" s="35"/>
      <c r="J376" s="35"/>
      <c r="K376" s="35"/>
    </row>
    <row r="377">
      <c r="A377" s="33"/>
      <c r="G377" s="33" t="str">
        <f>IFERROR(__xludf.DUMMYFUNCTION("IF(OR(A377="""",F377=""""),"""",TEXT(WORKDAY(DATE(VALUE(LEFT(TO_TEXT(A377),4)),VALUE(MID(TO_TEXT(A377),5,2)),VALUE(RIGHT(TO_TEXT(A377),2))),F377),""yyyymmdd""))"),"")</f>
        <v/>
      </c>
      <c r="H377" s="34" t="str">
        <f t="shared" si="1"/>
        <v/>
      </c>
      <c r="I377" s="35"/>
      <c r="J377" s="35"/>
      <c r="K377" s="35"/>
    </row>
    <row r="378">
      <c r="A378" s="33"/>
      <c r="G378" s="33" t="str">
        <f>IFERROR(__xludf.DUMMYFUNCTION("IF(OR(A378="""",F378=""""),"""",TEXT(WORKDAY(DATE(VALUE(LEFT(TO_TEXT(A378),4)),VALUE(MID(TO_TEXT(A378),5,2)),VALUE(RIGHT(TO_TEXT(A378),2))),F378),""yyyymmdd""))"),"")</f>
        <v/>
      </c>
      <c r="H378" s="34" t="str">
        <f t="shared" si="1"/>
        <v/>
      </c>
      <c r="I378" s="35"/>
      <c r="J378" s="35"/>
      <c r="K378" s="35"/>
    </row>
    <row r="379">
      <c r="A379" s="33"/>
      <c r="G379" s="33" t="str">
        <f>IFERROR(__xludf.DUMMYFUNCTION("IF(OR(A379="""",F379=""""),"""",TEXT(WORKDAY(DATE(VALUE(LEFT(TO_TEXT(A379),4)),VALUE(MID(TO_TEXT(A379),5,2)),VALUE(RIGHT(TO_TEXT(A379),2))),F379),""yyyymmdd""))"),"")</f>
        <v/>
      </c>
      <c r="H379" s="34" t="str">
        <f t="shared" si="1"/>
        <v/>
      </c>
      <c r="I379" s="35"/>
      <c r="J379" s="35"/>
      <c r="K379" s="35"/>
    </row>
    <row r="380">
      <c r="A380" s="33"/>
      <c r="G380" s="33" t="str">
        <f>IFERROR(__xludf.DUMMYFUNCTION("IF(OR(A380="""",F380=""""),"""",TEXT(WORKDAY(DATE(VALUE(LEFT(TO_TEXT(A380),4)),VALUE(MID(TO_TEXT(A380),5,2)),VALUE(RIGHT(TO_TEXT(A380),2))),F380),""yyyymmdd""))"),"")</f>
        <v/>
      </c>
      <c r="H380" s="34" t="str">
        <f t="shared" si="1"/>
        <v/>
      </c>
      <c r="I380" s="35"/>
      <c r="J380" s="35"/>
      <c r="K380" s="35"/>
    </row>
    <row r="381">
      <c r="A381" s="33"/>
      <c r="G381" s="33" t="str">
        <f>IFERROR(__xludf.DUMMYFUNCTION("IF(OR(A381="""",F381=""""),"""",TEXT(WORKDAY(DATE(VALUE(LEFT(TO_TEXT(A381),4)),VALUE(MID(TO_TEXT(A381),5,2)),VALUE(RIGHT(TO_TEXT(A381),2))),F381),""yyyymmdd""))"),"")</f>
        <v/>
      </c>
      <c r="H381" s="34" t="str">
        <f t="shared" si="1"/>
        <v/>
      </c>
      <c r="I381" s="35"/>
      <c r="J381" s="35"/>
      <c r="K381" s="35"/>
    </row>
    <row r="382">
      <c r="A382" s="33"/>
      <c r="G382" s="33" t="str">
        <f>IFERROR(__xludf.DUMMYFUNCTION("IF(OR(A382="""",F382=""""),"""",TEXT(WORKDAY(DATE(VALUE(LEFT(TO_TEXT(A382),4)),VALUE(MID(TO_TEXT(A382),5,2)),VALUE(RIGHT(TO_TEXT(A382),2))),F382),""yyyymmdd""))"),"")</f>
        <v/>
      </c>
      <c r="H382" s="34" t="str">
        <f t="shared" si="1"/>
        <v/>
      </c>
      <c r="I382" s="35"/>
      <c r="J382" s="35"/>
      <c r="K382" s="35"/>
    </row>
    <row r="383">
      <c r="A383" s="33"/>
      <c r="G383" s="33" t="str">
        <f>IFERROR(__xludf.DUMMYFUNCTION("IF(OR(A383="""",F383=""""),"""",TEXT(WORKDAY(DATE(VALUE(LEFT(TO_TEXT(A383),4)),VALUE(MID(TO_TEXT(A383),5,2)),VALUE(RIGHT(TO_TEXT(A383),2))),F383),""yyyymmdd""))"),"")</f>
        <v/>
      </c>
      <c r="H383" s="34" t="str">
        <f t="shared" si="1"/>
        <v/>
      </c>
      <c r="I383" s="35"/>
      <c r="J383" s="35"/>
      <c r="K383" s="35"/>
    </row>
    <row r="384">
      <c r="A384" s="33"/>
      <c r="G384" s="33" t="str">
        <f>IFERROR(__xludf.DUMMYFUNCTION("IF(OR(A384="""",F384=""""),"""",TEXT(WORKDAY(DATE(VALUE(LEFT(TO_TEXT(A384),4)),VALUE(MID(TO_TEXT(A384),5,2)),VALUE(RIGHT(TO_TEXT(A384),2))),F384),""yyyymmdd""))"),"")</f>
        <v/>
      </c>
      <c r="H384" s="34" t="str">
        <f t="shared" si="1"/>
        <v/>
      </c>
      <c r="I384" s="35"/>
      <c r="J384" s="35"/>
      <c r="K384" s="35"/>
    </row>
    <row r="385">
      <c r="A385" s="33"/>
      <c r="G385" s="33" t="str">
        <f>IFERROR(__xludf.DUMMYFUNCTION("IF(OR(A385="""",F385=""""),"""",TEXT(WORKDAY(DATE(VALUE(LEFT(TO_TEXT(A385),4)),VALUE(MID(TO_TEXT(A385),5,2)),VALUE(RIGHT(TO_TEXT(A385),2))),F385),""yyyymmdd""))"),"")</f>
        <v/>
      </c>
      <c r="H385" s="34" t="str">
        <f t="shared" si="1"/>
        <v/>
      </c>
      <c r="I385" s="35"/>
      <c r="J385" s="35"/>
      <c r="K385" s="35"/>
    </row>
    <row r="386">
      <c r="A386" s="33"/>
      <c r="G386" s="33" t="str">
        <f>IFERROR(__xludf.DUMMYFUNCTION("IF(OR(A386="""",F386=""""),"""",TEXT(WORKDAY(DATE(VALUE(LEFT(TO_TEXT(A386),4)),VALUE(MID(TO_TEXT(A386),5,2)),VALUE(RIGHT(TO_TEXT(A386),2))),F386),""yyyymmdd""))"),"")</f>
        <v/>
      </c>
      <c r="H386" s="34" t="str">
        <f t="shared" si="1"/>
        <v/>
      </c>
      <c r="I386" s="35"/>
      <c r="J386" s="35"/>
      <c r="K386" s="35"/>
    </row>
    <row r="387">
      <c r="A387" s="33"/>
      <c r="G387" s="33" t="str">
        <f>IFERROR(__xludf.DUMMYFUNCTION("IF(OR(A387="""",F387=""""),"""",TEXT(WORKDAY(DATE(VALUE(LEFT(TO_TEXT(A387),4)),VALUE(MID(TO_TEXT(A387),5,2)),VALUE(RIGHT(TO_TEXT(A387),2))),F387),""yyyymmdd""))"),"")</f>
        <v/>
      </c>
      <c r="H387" s="34" t="str">
        <f t="shared" si="1"/>
        <v/>
      </c>
      <c r="I387" s="35"/>
      <c r="J387" s="35"/>
      <c r="K387" s="35"/>
    </row>
    <row r="388">
      <c r="A388" s="33"/>
      <c r="G388" s="33" t="str">
        <f>IFERROR(__xludf.DUMMYFUNCTION("IF(OR(A388="""",F388=""""),"""",TEXT(WORKDAY(DATE(VALUE(LEFT(TO_TEXT(A388),4)),VALUE(MID(TO_TEXT(A388),5,2)),VALUE(RIGHT(TO_TEXT(A388),2))),F388),""yyyymmdd""))"),"")</f>
        <v/>
      </c>
      <c r="H388" s="34" t="str">
        <f t="shared" si="1"/>
        <v/>
      </c>
      <c r="I388" s="35"/>
      <c r="J388" s="35"/>
      <c r="K388" s="35"/>
    </row>
    <row r="389">
      <c r="A389" s="33"/>
      <c r="G389" s="33" t="str">
        <f>IFERROR(__xludf.DUMMYFUNCTION("IF(OR(A389="""",F389=""""),"""",TEXT(WORKDAY(DATE(VALUE(LEFT(TO_TEXT(A389),4)),VALUE(MID(TO_TEXT(A389),5,2)),VALUE(RIGHT(TO_TEXT(A389),2))),F389),""yyyymmdd""))"),"")</f>
        <v/>
      </c>
      <c r="H389" s="34" t="str">
        <f t="shared" si="1"/>
        <v/>
      </c>
      <c r="I389" s="35"/>
      <c r="J389" s="35"/>
      <c r="K389" s="35"/>
    </row>
    <row r="390">
      <c r="A390" s="33"/>
      <c r="G390" s="33" t="str">
        <f>IFERROR(__xludf.DUMMYFUNCTION("IF(OR(A390="""",F390=""""),"""",TEXT(WORKDAY(DATE(VALUE(LEFT(TO_TEXT(A390),4)),VALUE(MID(TO_TEXT(A390),5,2)),VALUE(RIGHT(TO_TEXT(A390),2))),F390),""yyyymmdd""))"),"")</f>
        <v/>
      </c>
      <c r="H390" s="34" t="str">
        <f t="shared" si="1"/>
        <v/>
      </c>
      <c r="I390" s="35"/>
      <c r="J390" s="35"/>
      <c r="K390" s="35"/>
    </row>
    <row r="391">
      <c r="A391" s="33"/>
      <c r="G391" s="33" t="str">
        <f>IFERROR(__xludf.DUMMYFUNCTION("IF(OR(A391="""",F391=""""),"""",TEXT(WORKDAY(DATE(VALUE(LEFT(TO_TEXT(A391),4)),VALUE(MID(TO_TEXT(A391),5,2)),VALUE(RIGHT(TO_TEXT(A391),2))),F391),""yyyymmdd""))"),"")</f>
        <v/>
      </c>
      <c r="H391" s="34" t="str">
        <f t="shared" si="1"/>
        <v/>
      </c>
      <c r="I391" s="35"/>
      <c r="J391" s="35"/>
      <c r="K391" s="35"/>
    </row>
    <row r="392">
      <c r="A392" s="33"/>
      <c r="G392" s="33" t="str">
        <f>IFERROR(__xludf.DUMMYFUNCTION("IF(OR(A392="""",F392=""""),"""",TEXT(WORKDAY(DATE(VALUE(LEFT(TO_TEXT(A392),4)),VALUE(MID(TO_TEXT(A392),5,2)),VALUE(RIGHT(TO_TEXT(A392),2))),F392),""yyyymmdd""))"),"")</f>
        <v/>
      </c>
      <c r="H392" s="34" t="str">
        <f t="shared" si="1"/>
        <v/>
      </c>
      <c r="I392" s="35"/>
      <c r="J392" s="35"/>
      <c r="K392" s="35"/>
    </row>
    <row r="393">
      <c r="A393" s="33"/>
      <c r="G393" s="33" t="str">
        <f>IFERROR(__xludf.DUMMYFUNCTION("IF(OR(A393="""",F393=""""),"""",TEXT(WORKDAY(DATE(VALUE(LEFT(TO_TEXT(A393),4)),VALUE(MID(TO_TEXT(A393),5,2)),VALUE(RIGHT(TO_TEXT(A393),2))),F393),""yyyymmdd""))"),"")</f>
        <v/>
      </c>
      <c r="H393" s="34" t="str">
        <f t="shared" si="1"/>
        <v/>
      </c>
      <c r="I393" s="35"/>
      <c r="J393" s="35"/>
      <c r="K393" s="35"/>
    </row>
    <row r="394">
      <c r="A394" s="33"/>
      <c r="G394" s="33" t="str">
        <f>IFERROR(__xludf.DUMMYFUNCTION("IF(OR(A394="""",F394=""""),"""",TEXT(WORKDAY(DATE(VALUE(LEFT(TO_TEXT(A394),4)),VALUE(MID(TO_TEXT(A394),5,2)),VALUE(RIGHT(TO_TEXT(A394),2))),F394),""yyyymmdd""))"),"")</f>
        <v/>
      </c>
      <c r="H394" s="34" t="str">
        <f t="shared" si="1"/>
        <v/>
      </c>
      <c r="I394" s="35"/>
      <c r="J394" s="35"/>
      <c r="K394" s="35"/>
    </row>
    <row r="395">
      <c r="A395" s="33"/>
      <c r="G395" s="33" t="str">
        <f>IFERROR(__xludf.DUMMYFUNCTION("IF(OR(A395="""",F395=""""),"""",TEXT(WORKDAY(DATE(VALUE(LEFT(TO_TEXT(A395),4)),VALUE(MID(TO_TEXT(A395),5,2)),VALUE(RIGHT(TO_TEXT(A395),2))),F395),""yyyymmdd""))"),"")</f>
        <v/>
      </c>
      <c r="H395" s="34" t="str">
        <f t="shared" si="1"/>
        <v/>
      </c>
      <c r="I395" s="35"/>
      <c r="J395" s="35"/>
      <c r="K395" s="35"/>
    </row>
    <row r="396">
      <c r="A396" s="33"/>
      <c r="G396" s="33" t="str">
        <f>IFERROR(__xludf.DUMMYFUNCTION("IF(OR(A396="""",F396=""""),"""",TEXT(WORKDAY(DATE(VALUE(LEFT(TO_TEXT(A396),4)),VALUE(MID(TO_TEXT(A396),5,2)),VALUE(RIGHT(TO_TEXT(A396),2))),F396),""yyyymmdd""))"),"")</f>
        <v/>
      </c>
      <c r="H396" s="34" t="str">
        <f t="shared" si="1"/>
        <v/>
      </c>
      <c r="I396" s="35"/>
      <c r="J396" s="35"/>
      <c r="K396" s="35"/>
    </row>
    <row r="397">
      <c r="A397" s="33"/>
      <c r="G397" s="33" t="str">
        <f>IFERROR(__xludf.DUMMYFUNCTION("IF(OR(A397="""",F397=""""),"""",TEXT(WORKDAY(DATE(VALUE(LEFT(TO_TEXT(A397),4)),VALUE(MID(TO_TEXT(A397),5,2)),VALUE(RIGHT(TO_TEXT(A397),2))),F397),""yyyymmdd""))"),"")</f>
        <v/>
      </c>
      <c r="H397" s="34" t="str">
        <f t="shared" si="1"/>
        <v/>
      </c>
      <c r="I397" s="35"/>
      <c r="J397" s="35"/>
      <c r="K397" s="35"/>
    </row>
    <row r="398">
      <c r="A398" s="33"/>
      <c r="G398" s="33" t="str">
        <f>IFERROR(__xludf.DUMMYFUNCTION("IF(OR(A398="""",F398=""""),"""",TEXT(WORKDAY(DATE(VALUE(LEFT(TO_TEXT(A398),4)),VALUE(MID(TO_TEXT(A398),5,2)),VALUE(RIGHT(TO_TEXT(A398),2))),F398),""yyyymmdd""))"),"")</f>
        <v/>
      </c>
      <c r="H398" s="34" t="str">
        <f t="shared" si="1"/>
        <v/>
      </c>
      <c r="I398" s="35"/>
      <c r="J398" s="35"/>
      <c r="K398" s="35"/>
    </row>
    <row r="399">
      <c r="A399" s="33"/>
      <c r="G399" s="33" t="str">
        <f>IFERROR(__xludf.DUMMYFUNCTION("IF(OR(A399="""",F399=""""),"""",TEXT(WORKDAY(DATE(VALUE(LEFT(TO_TEXT(A399),4)),VALUE(MID(TO_TEXT(A399),5,2)),VALUE(RIGHT(TO_TEXT(A399),2))),F399),""yyyymmdd""))"),"")</f>
        <v/>
      </c>
      <c r="H399" s="34" t="str">
        <f t="shared" si="1"/>
        <v/>
      </c>
      <c r="I399" s="35"/>
      <c r="J399" s="35"/>
      <c r="K399" s="35"/>
    </row>
    <row r="400">
      <c r="A400" s="33"/>
      <c r="G400" s="33" t="str">
        <f>IFERROR(__xludf.DUMMYFUNCTION("IF(OR(A400="""",F400=""""),"""",TEXT(WORKDAY(DATE(VALUE(LEFT(TO_TEXT(A400),4)),VALUE(MID(TO_TEXT(A400),5,2)),VALUE(RIGHT(TO_TEXT(A400),2))),F400),""yyyymmdd""))"),"")</f>
        <v/>
      </c>
      <c r="H400" s="34" t="str">
        <f t="shared" si="1"/>
        <v/>
      </c>
      <c r="I400" s="35"/>
      <c r="J400" s="35"/>
      <c r="K400" s="35"/>
    </row>
    <row r="401">
      <c r="A401" s="33"/>
      <c r="G401" s="33" t="str">
        <f>IFERROR(__xludf.DUMMYFUNCTION("IF(OR(A401="""",F401=""""),"""",TEXT(WORKDAY(DATE(VALUE(LEFT(TO_TEXT(A401),4)),VALUE(MID(TO_TEXT(A401),5,2)),VALUE(RIGHT(TO_TEXT(A401),2))),F401),""yyyymmdd""))"),"")</f>
        <v/>
      </c>
      <c r="H401" s="34" t="str">
        <f t="shared" si="1"/>
        <v/>
      </c>
      <c r="I401" s="35"/>
      <c r="J401" s="35"/>
      <c r="K401" s="35"/>
    </row>
    <row r="402">
      <c r="A402" s="33"/>
      <c r="G402" s="33" t="str">
        <f>IFERROR(__xludf.DUMMYFUNCTION("IF(OR(A402="""",F402=""""),"""",TEXT(WORKDAY(DATE(VALUE(LEFT(TO_TEXT(A402),4)),VALUE(MID(TO_TEXT(A402),5,2)),VALUE(RIGHT(TO_TEXT(A402),2))),F402),""yyyymmdd""))"),"")</f>
        <v/>
      </c>
      <c r="H402" s="34" t="str">
        <f t="shared" si="1"/>
        <v/>
      </c>
      <c r="I402" s="35"/>
      <c r="J402" s="35"/>
      <c r="K402" s="35"/>
    </row>
    <row r="403">
      <c r="A403" s="33"/>
      <c r="G403" s="33" t="str">
        <f>IFERROR(__xludf.DUMMYFUNCTION("IF(OR(A403="""",F403=""""),"""",TEXT(WORKDAY(DATE(VALUE(LEFT(TO_TEXT(A403),4)),VALUE(MID(TO_TEXT(A403),5,2)),VALUE(RIGHT(TO_TEXT(A403),2))),F403),""yyyymmdd""))"),"")</f>
        <v/>
      </c>
      <c r="H403" s="34" t="str">
        <f t="shared" si="1"/>
        <v/>
      </c>
      <c r="I403" s="35"/>
      <c r="J403" s="35"/>
      <c r="K403" s="35"/>
    </row>
    <row r="404">
      <c r="A404" s="33"/>
      <c r="G404" s="33" t="str">
        <f>IFERROR(__xludf.DUMMYFUNCTION("IF(OR(A404="""",F404=""""),"""",TEXT(WORKDAY(DATE(VALUE(LEFT(TO_TEXT(A404),4)),VALUE(MID(TO_TEXT(A404),5,2)),VALUE(RIGHT(TO_TEXT(A404),2))),F404),""yyyymmdd""))"),"")</f>
        <v/>
      </c>
      <c r="H404" s="34" t="str">
        <f t="shared" si="1"/>
        <v/>
      </c>
      <c r="I404" s="35"/>
      <c r="J404" s="35"/>
      <c r="K404" s="35"/>
    </row>
    <row r="405">
      <c r="A405" s="33"/>
      <c r="G405" s="33" t="str">
        <f>IFERROR(__xludf.DUMMYFUNCTION("IF(OR(A405="""",F405=""""),"""",TEXT(WORKDAY(DATE(VALUE(LEFT(TO_TEXT(A405),4)),VALUE(MID(TO_TEXT(A405),5,2)),VALUE(RIGHT(TO_TEXT(A405),2))),F405),""yyyymmdd""))"),"")</f>
        <v/>
      </c>
      <c r="H405" s="34" t="str">
        <f t="shared" si="1"/>
        <v/>
      </c>
      <c r="I405" s="35"/>
      <c r="J405" s="35"/>
      <c r="K405" s="35"/>
    </row>
    <row r="406">
      <c r="A406" s="33"/>
      <c r="G406" s="33" t="str">
        <f>IFERROR(__xludf.DUMMYFUNCTION("IF(OR(A406="""",F406=""""),"""",TEXT(WORKDAY(DATE(VALUE(LEFT(TO_TEXT(A406),4)),VALUE(MID(TO_TEXT(A406),5,2)),VALUE(RIGHT(TO_TEXT(A406),2))),F406),""yyyymmdd""))"),"")</f>
        <v/>
      </c>
      <c r="H406" s="34" t="str">
        <f t="shared" si="1"/>
        <v/>
      </c>
      <c r="I406" s="35"/>
      <c r="J406" s="35"/>
      <c r="K406" s="35"/>
    </row>
    <row r="407">
      <c r="A407" s="33"/>
      <c r="G407" s="33" t="str">
        <f>IFERROR(__xludf.DUMMYFUNCTION("IF(OR(A407="""",F407=""""),"""",TEXT(WORKDAY(DATE(VALUE(LEFT(TO_TEXT(A407),4)),VALUE(MID(TO_TEXT(A407),5,2)),VALUE(RIGHT(TO_TEXT(A407),2))),F407),""yyyymmdd""))"),"")</f>
        <v/>
      </c>
      <c r="H407" s="34" t="str">
        <f t="shared" si="1"/>
        <v/>
      </c>
      <c r="I407" s="35"/>
      <c r="J407" s="35"/>
      <c r="K407" s="35"/>
    </row>
    <row r="408">
      <c r="A408" s="33"/>
      <c r="G408" s="33" t="str">
        <f>IFERROR(__xludf.DUMMYFUNCTION("IF(OR(A408="""",F408=""""),"""",TEXT(WORKDAY(DATE(VALUE(LEFT(TO_TEXT(A408),4)),VALUE(MID(TO_TEXT(A408),5,2)),VALUE(RIGHT(TO_TEXT(A408),2))),F408),""yyyymmdd""))"),"")</f>
        <v/>
      </c>
      <c r="H408" s="34" t="str">
        <f t="shared" si="1"/>
        <v/>
      </c>
      <c r="I408" s="35"/>
      <c r="J408" s="35"/>
      <c r="K408" s="35"/>
    </row>
    <row r="409">
      <c r="A409" s="33"/>
      <c r="G409" s="33" t="str">
        <f>IFERROR(__xludf.DUMMYFUNCTION("IF(OR(A409="""",F409=""""),"""",TEXT(WORKDAY(DATE(VALUE(LEFT(TO_TEXT(A409),4)),VALUE(MID(TO_TEXT(A409),5,2)),VALUE(RIGHT(TO_TEXT(A409),2))),F409),""yyyymmdd""))"),"")</f>
        <v/>
      </c>
      <c r="H409" s="34" t="str">
        <f t="shared" si="1"/>
        <v/>
      </c>
      <c r="I409" s="35"/>
      <c r="J409" s="35"/>
      <c r="K409" s="35"/>
    </row>
    <row r="410">
      <c r="A410" s="33"/>
      <c r="G410" s="33" t="str">
        <f>IFERROR(__xludf.DUMMYFUNCTION("IF(OR(A410="""",F410=""""),"""",TEXT(WORKDAY(DATE(VALUE(LEFT(TO_TEXT(A410),4)),VALUE(MID(TO_TEXT(A410),5,2)),VALUE(RIGHT(TO_TEXT(A410),2))),F410),""yyyymmdd""))"),"")</f>
        <v/>
      </c>
      <c r="H410" s="34" t="str">
        <f t="shared" si="1"/>
        <v/>
      </c>
      <c r="I410" s="35"/>
      <c r="J410" s="35"/>
      <c r="K410" s="35"/>
    </row>
    <row r="411">
      <c r="A411" s="33"/>
      <c r="G411" s="33" t="str">
        <f>IFERROR(__xludf.DUMMYFUNCTION("IF(OR(A411="""",F411=""""),"""",TEXT(WORKDAY(DATE(VALUE(LEFT(TO_TEXT(A411),4)),VALUE(MID(TO_TEXT(A411),5,2)),VALUE(RIGHT(TO_TEXT(A411),2))),F411),""yyyymmdd""))"),"")</f>
        <v/>
      </c>
      <c r="H411" s="34" t="str">
        <f t="shared" si="1"/>
        <v/>
      </c>
      <c r="I411" s="35"/>
      <c r="J411" s="35"/>
      <c r="K411" s="35"/>
    </row>
    <row r="412">
      <c r="A412" s="33"/>
      <c r="G412" s="33" t="str">
        <f>IFERROR(__xludf.DUMMYFUNCTION("IF(OR(A412="""",F412=""""),"""",TEXT(WORKDAY(DATE(VALUE(LEFT(TO_TEXT(A412),4)),VALUE(MID(TO_TEXT(A412),5,2)),VALUE(RIGHT(TO_TEXT(A412),2))),F412),""yyyymmdd""))"),"")</f>
        <v/>
      </c>
      <c r="H412" s="34" t="str">
        <f t="shared" si="1"/>
        <v/>
      </c>
      <c r="I412" s="35"/>
      <c r="J412" s="35"/>
      <c r="K412" s="35"/>
    </row>
    <row r="413">
      <c r="A413" s="33"/>
      <c r="G413" s="33" t="str">
        <f>IFERROR(__xludf.DUMMYFUNCTION("IF(OR(A413="""",F413=""""),"""",TEXT(WORKDAY(DATE(VALUE(LEFT(TO_TEXT(A413),4)),VALUE(MID(TO_TEXT(A413),5,2)),VALUE(RIGHT(TO_TEXT(A413),2))),F413),""yyyymmdd""))"),"")</f>
        <v/>
      </c>
      <c r="H413" s="34" t="str">
        <f t="shared" si="1"/>
        <v/>
      </c>
      <c r="I413" s="35"/>
      <c r="J413" s="35"/>
      <c r="K413" s="35"/>
    </row>
    <row r="414">
      <c r="A414" s="33"/>
      <c r="G414" s="33" t="str">
        <f>IFERROR(__xludf.DUMMYFUNCTION("IF(OR(A414="""",F414=""""),"""",TEXT(WORKDAY(DATE(VALUE(LEFT(TO_TEXT(A414),4)),VALUE(MID(TO_TEXT(A414),5,2)),VALUE(RIGHT(TO_TEXT(A414),2))),F414),""yyyymmdd""))"),"")</f>
        <v/>
      </c>
      <c r="H414" s="34" t="str">
        <f t="shared" si="1"/>
        <v/>
      </c>
      <c r="I414" s="35"/>
      <c r="J414" s="35"/>
      <c r="K414" s="35"/>
    </row>
    <row r="415">
      <c r="A415" s="33"/>
      <c r="G415" s="33" t="str">
        <f>IFERROR(__xludf.DUMMYFUNCTION("IF(OR(A415="""",F415=""""),"""",TEXT(WORKDAY(DATE(VALUE(LEFT(TO_TEXT(A415),4)),VALUE(MID(TO_TEXT(A415),5,2)),VALUE(RIGHT(TO_TEXT(A415),2))),F415),""yyyymmdd""))"),"")</f>
        <v/>
      </c>
      <c r="H415" s="34" t="str">
        <f t="shared" si="1"/>
        <v/>
      </c>
      <c r="I415" s="35"/>
      <c r="J415" s="35"/>
      <c r="K415" s="35"/>
    </row>
    <row r="416">
      <c r="A416" s="33"/>
      <c r="G416" s="33" t="str">
        <f>IFERROR(__xludf.DUMMYFUNCTION("IF(OR(A416="""",F416=""""),"""",TEXT(WORKDAY(DATE(VALUE(LEFT(TO_TEXT(A416),4)),VALUE(MID(TO_TEXT(A416),5,2)),VALUE(RIGHT(TO_TEXT(A416),2))),F416),""yyyymmdd""))"),"")</f>
        <v/>
      </c>
      <c r="H416" s="34" t="str">
        <f t="shared" si="1"/>
        <v/>
      </c>
      <c r="I416" s="35"/>
      <c r="J416" s="35"/>
      <c r="K416" s="35"/>
    </row>
    <row r="417">
      <c r="A417" s="33"/>
      <c r="G417" s="33" t="str">
        <f>IFERROR(__xludf.DUMMYFUNCTION("IF(OR(A417="""",F417=""""),"""",TEXT(WORKDAY(DATE(VALUE(LEFT(TO_TEXT(A417),4)),VALUE(MID(TO_TEXT(A417),5,2)),VALUE(RIGHT(TO_TEXT(A417),2))),F417),""yyyymmdd""))"),"")</f>
        <v/>
      </c>
      <c r="H417" s="34" t="str">
        <f t="shared" si="1"/>
        <v/>
      </c>
      <c r="I417" s="35"/>
      <c r="J417" s="35"/>
      <c r="K417" s="35"/>
    </row>
    <row r="418">
      <c r="A418" s="33"/>
      <c r="G418" s="33" t="str">
        <f>IFERROR(__xludf.DUMMYFUNCTION("IF(OR(A418="""",F418=""""),"""",TEXT(WORKDAY(DATE(VALUE(LEFT(TO_TEXT(A418),4)),VALUE(MID(TO_TEXT(A418),5,2)),VALUE(RIGHT(TO_TEXT(A418),2))),F418),""yyyymmdd""))"),"")</f>
        <v/>
      </c>
      <c r="H418" s="34" t="str">
        <f t="shared" si="1"/>
        <v/>
      </c>
      <c r="I418" s="35"/>
      <c r="J418" s="35"/>
      <c r="K418" s="35"/>
    </row>
    <row r="419">
      <c r="A419" s="33"/>
      <c r="G419" s="33" t="str">
        <f>IFERROR(__xludf.DUMMYFUNCTION("IF(OR(A419="""",F419=""""),"""",TEXT(WORKDAY(DATE(VALUE(LEFT(TO_TEXT(A419),4)),VALUE(MID(TO_TEXT(A419),5,2)),VALUE(RIGHT(TO_TEXT(A419),2))),F419),""yyyymmdd""))"),"")</f>
        <v/>
      </c>
      <c r="H419" s="34" t="str">
        <f t="shared" si="1"/>
        <v/>
      </c>
      <c r="I419" s="35"/>
      <c r="J419" s="35"/>
      <c r="K419" s="35"/>
    </row>
    <row r="420">
      <c r="A420" s="33"/>
      <c r="G420" s="33" t="str">
        <f>IFERROR(__xludf.DUMMYFUNCTION("IF(OR(A420="""",F420=""""),"""",TEXT(WORKDAY(DATE(VALUE(LEFT(TO_TEXT(A420),4)),VALUE(MID(TO_TEXT(A420),5,2)),VALUE(RIGHT(TO_TEXT(A420),2))),F420),""yyyymmdd""))"),"")</f>
        <v/>
      </c>
      <c r="H420" s="34" t="str">
        <f t="shared" si="1"/>
        <v/>
      </c>
      <c r="I420" s="35"/>
      <c r="J420" s="35"/>
      <c r="K420" s="35"/>
    </row>
    <row r="421">
      <c r="A421" s="33"/>
      <c r="G421" s="33" t="str">
        <f>IFERROR(__xludf.DUMMYFUNCTION("IF(OR(A421="""",F421=""""),"""",TEXT(WORKDAY(DATE(VALUE(LEFT(TO_TEXT(A421),4)),VALUE(MID(TO_TEXT(A421),5,2)),VALUE(RIGHT(TO_TEXT(A421),2))),F421),""yyyymmdd""))"),"")</f>
        <v/>
      </c>
      <c r="H421" s="34" t="str">
        <f t="shared" si="1"/>
        <v/>
      </c>
      <c r="I421" s="35"/>
      <c r="J421" s="35"/>
      <c r="K421" s="35"/>
    </row>
    <row r="422">
      <c r="A422" s="33"/>
      <c r="G422" s="33" t="str">
        <f>IFERROR(__xludf.DUMMYFUNCTION("IF(OR(A422="""",F422=""""),"""",TEXT(WORKDAY(DATE(VALUE(LEFT(TO_TEXT(A422),4)),VALUE(MID(TO_TEXT(A422),5,2)),VALUE(RIGHT(TO_TEXT(A422),2))),F422),""yyyymmdd""))"),"")</f>
        <v/>
      </c>
      <c r="H422" s="34" t="str">
        <f t="shared" si="1"/>
        <v/>
      </c>
      <c r="I422" s="35"/>
      <c r="J422" s="35"/>
      <c r="K422" s="35"/>
    </row>
    <row r="423">
      <c r="A423" s="33"/>
      <c r="G423" s="33" t="str">
        <f>IFERROR(__xludf.DUMMYFUNCTION("IF(OR(A423="""",F423=""""),"""",TEXT(WORKDAY(DATE(VALUE(LEFT(TO_TEXT(A423),4)),VALUE(MID(TO_TEXT(A423),5,2)),VALUE(RIGHT(TO_TEXT(A423),2))),F423),""yyyymmdd""))"),"")</f>
        <v/>
      </c>
      <c r="H423" s="34" t="str">
        <f t="shared" si="1"/>
        <v/>
      </c>
      <c r="I423" s="35"/>
      <c r="J423" s="35"/>
      <c r="K423" s="35"/>
    </row>
    <row r="424">
      <c r="A424" s="33"/>
      <c r="G424" s="33" t="str">
        <f>IFERROR(__xludf.DUMMYFUNCTION("IF(OR(A424="""",F424=""""),"""",TEXT(WORKDAY(DATE(VALUE(LEFT(TO_TEXT(A424),4)),VALUE(MID(TO_TEXT(A424),5,2)),VALUE(RIGHT(TO_TEXT(A424),2))),F424),""yyyymmdd""))"),"")</f>
        <v/>
      </c>
      <c r="H424" s="34" t="str">
        <f t="shared" si="1"/>
        <v/>
      </c>
      <c r="I424" s="35"/>
      <c r="J424" s="35"/>
      <c r="K424" s="35"/>
    </row>
    <row r="425">
      <c r="A425" s="33"/>
      <c r="G425" s="33" t="str">
        <f>IFERROR(__xludf.DUMMYFUNCTION("IF(OR(A425="""",F425=""""),"""",TEXT(WORKDAY(DATE(VALUE(LEFT(TO_TEXT(A425),4)),VALUE(MID(TO_TEXT(A425),5,2)),VALUE(RIGHT(TO_TEXT(A425),2))),F425),""yyyymmdd""))"),"")</f>
        <v/>
      </c>
      <c r="H425" s="34" t="str">
        <f t="shared" si="1"/>
        <v/>
      </c>
      <c r="I425" s="35"/>
      <c r="J425" s="35"/>
      <c r="K425" s="35"/>
    </row>
    <row r="426">
      <c r="A426" s="33"/>
      <c r="G426" s="33" t="str">
        <f>IFERROR(__xludf.DUMMYFUNCTION("IF(OR(A426="""",F426=""""),"""",TEXT(WORKDAY(DATE(VALUE(LEFT(TO_TEXT(A426),4)),VALUE(MID(TO_TEXT(A426),5,2)),VALUE(RIGHT(TO_TEXT(A426),2))),F426),""yyyymmdd""))"),"")</f>
        <v/>
      </c>
      <c r="H426" s="34" t="str">
        <f t="shared" si="1"/>
        <v/>
      </c>
      <c r="I426" s="35"/>
      <c r="J426" s="35"/>
      <c r="K426" s="35"/>
    </row>
    <row r="427">
      <c r="A427" s="33"/>
      <c r="G427" s="33" t="str">
        <f>IFERROR(__xludf.DUMMYFUNCTION("IF(OR(A427="""",F427=""""),"""",TEXT(WORKDAY(DATE(VALUE(LEFT(TO_TEXT(A427),4)),VALUE(MID(TO_TEXT(A427),5,2)),VALUE(RIGHT(TO_TEXT(A427),2))),F427),""yyyymmdd""))"),"")</f>
        <v/>
      </c>
      <c r="H427" s="34" t="str">
        <f t="shared" si="1"/>
        <v/>
      </c>
      <c r="I427" s="35"/>
      <c r="J427" s="35"/>
      <c r="K427" s="35"/>
    </row>
    <row r="428">
      <c r="A428" s="33"/>
      <c r="G428" s="33" t="str">
        <f>IFERROR(__xludf.DUMMYFUNCTION("IF(OR(A428="""",F428=""""),"""",TEXT(WORKDAY(DATE(VALUE(LEFT(TO_TEXT(A428),4)),VALUE(MID(TO_TEXT(A428),5,2)),VALUE(RIGHT(TO_TEXT(A428),2))),F428),""yyyymmdd""))"),"")</f>
        <v/>
      </c>
      <c r="H428" s="34" t="str">
        <f t="shared" si="1"/>
        <v/>
      </c>
      <c r="I428" s="35"/>
      <c r="J428" s="35"/>
      <c r="K428" s="35"/>
    </row>
    <row r="429">
      <c r="A429" s="33"/>
      <c r="G429" s="33" t="str">
        <f>IFERROR(__xludf.DUMMYFUNCTION("IF(OR(A429="""",F429=""""),"""",TEXT(WORKDAY(DATE(VALUE(LEFT(TO_TEXT(A429),4)),VALUE(MID(TO_TEXT(A429),5,2)),VALUE(RIGHT(TO_TEXT(A429),2))),F429),""yyyymmdd""))"),"")</f>
        <v/>
      </c>
      <c r="H429" s="34" t="str">
        <f t="shared" si="1"/>
        <v/>
      </c>
      <c r="I429" s="35"/>
      <c r="J429" s="35"/>
      <c r="K429" s="35"/>
    </row>
    <row r="430">
      <c r="A430" s="33"/>
      <c r="G430" s="33" t="str">
        <f>IFERROR(__xludf.DUMMYFUNCTION("IF(OR(A430="""",F430=""""),"""",TEXT(WORKDAY(DATE(VALUE(LEFT(TO_TEXT(A430),4)),VALUE(MID(TO_TEXT(A430),5,2)),VALUE(RIGHT(TO_TEXT(A430),2))),F430),""yyyymmdd""))"),"")</f>
        <v/>
      </c>
      <c r="H430" s="34" t="str">
        <f t="shared" si="1"/>
        <v/>
      </c>
      <c r="I430" s="35"/>
      <c r="J430" s="35"/>
      <c r="K430" s="35"/>
    </row>
    <row r="431">
      <c r="A431" s="33"/>
      <c r="G431" s="33" t="str">
        <f>IFERROR(__xludf.DUMMYFUNCTION("IF(OR(A431="""",F431=""""),"""",TEXT(WORKDAY(DATE(VALUE(LEFT(TO_TEXT(A431),4)),VALUE(MID(TO_TEXT(A431),5,2)),VALUE(RIGHT(TO_TEXT(A431),2))),F431),""yyyymmdd""))"),"")</f>
        <v/>
      </c>
      <c r="H431" s="34" t="str">
        <f t="shared" si="1"/>
        <v/>
      </c>
      <c r="I431" s="35"/>
      <c r="J431" s="35"/>
      <c r="K431" s="35"/>
    </row>
    <row r="432">
      <c r="A432" s="33"/>
      <c r="G432" s="33" t="str">
        <f>IFERROR(__xludf.DUMMYFUNCTION("IF(OR(A432="""",F432=""""),"""",TEXT(WORKDAY(DATE(VALUE(LEFT(TO_TEXT(A432),4)),VALUE(MID(TO_TEXT(A432),5,2)),VALUE(RIGHT(TO_TEXT(A432),2))),F432),""yyyymmdd""))"),"")</f>
        <v/>
      </c>
      <c r="H432" s="34" t="str">
        <f t="shared" si="1"/>
        <v/>
      </c>
      <c r="I432" s="35"/>
      <c r="J432" s="35"/>
      <c r="K432" s="35"/>
    </row>
    <row r="433">
      <c r="A433" s="33"/>
      <c r="G433" s="33" t="str">
        <f>IFERROR(__xludf.DUMMYFUNCTION("IF(OR(A433="""",F433=""""),"""",TEXT(WORKDAY(DATE(VALUE(LEFT(TO_TEXT(A433),4)),VALUE(MID(TO_TEXT(A433),5,2)),VALUE(RIGHT(TO_TEXT(A433),2))),F433),""yyyymmdd""))"),"")</f>
        <v/>
      </c>
      <c r="H433" s="34" t="str">
        <f t="shared" si="1"/>
        <v/>
      </c>
      <c r="I433" s="35"/>
      <c r="J433" s="35"/>
      <c r="K433" s="35"/>
    </row>
    <row r="434">
      <c r="A434" s="33"/>
      <c r="G434" s="33" t="str">
        <f>IFERROR(__xludf.DUMMYFUNCTION("IF(OR(A434="""",F434=""""),"""",TEXT(WORKDAY(DATE(VALUE(LEFT(TO_TEXT(A434),4)),VALUE(MID(TO_TEXT(A434),5,2)),VALUE(RIGHT(TO_TEXT(A434),2))),F434),""yyyymmdd""))"),"")</f>
        <v/>
      </c>
      <c r="H434" s="34" t="str">
        <f t="shared" si="1"/>
        <v/>
      </c>
      <c r="I434" s="35"/>
      <c r="J434" s="35"/>
      <c r="K434" s="35"/>
    </row>
    <row r="435">
      <c r="A435" s="33"/>
      <c r="G435" s="33" t="str">
        <f>IFERROR(__xludf.DUMMYFUNCTION("IF(OR(A435="""",F435=""""),"""",TEXT(WORKDAY(DATE(VALUE(LEFT(TO_TEXT(A435),4)),VALUE(MID(TO_TEXT(A435),5,2)),VALUE(RIGHT(TO_TEXT(A435),2))),F435),""yyyymmdd""))"),"")</f>
        <v/>
      </c>
      <c r="H435" s="34" t="str">
        <f t="shared" si="1"/>
        <v/>
      </c>
      <c r="I435" s="35"/>
      <c r="J435" s="35"/>
      <c r="K435" s="35"/>
    </row>
    <row r="436">
      <c r="A436" s="33"/>
      <c r="G436" s="33" t="str">
        <f>IFERROR(__xludf.DUMMYFUNCTION("IF(OR(A436="""",F436=""""),"""",TEXT(WORKDAY(DATE(VALUE(LEFT(TO_TEXT(A436),4)),VALUE(MID(TO_TEXT(A436),5,2)),VALUE(RIGHT(TO_TEXT(A436),2))),F436),""yyyymmdd""))"),"")</f>
        <v/>
      </c>
      <c r="H436" s="34" t="str">
        <f t="shared" si="1"/>
        <v/>
      </c>
      <c r="I436" s="35"/>
      <c r="J436" s="35"/>
      <c r="K436" s="35"/>
    </row>
    <row r="437">
      <c r="A437" s="33"/>
      <c r="G437" s="33" t="str">
        <f>IFERROR(__xludf.DUMMYFUNCTION("IF(OR(A437="""",F437=""""),"""",TEXT(WORKDAY(DATE(VALUE(LEFT(TO_TEXT(A437),4)),VALUE(MID(TO_TEXT(A437),5,2)),VALUE(RIGHT(TO_TEXT(A437),2))),F437),""yyyymmdd""))"),"")</f>
        <v/>
      </c>
      <c r="H437" s="34" t="str">
        <f t="shared" si="1"/>
        <v/>
      </c>
      <c r="I437" s="35"/>
      <c r="J437" s="35"/>
      <c r="K437" s="35"/>
    </row>
    <row r="438">
      <c r="A438" s="33"/>
      <c r="G438" s="33" t="str">
        <f>IFERROR(__xludf.DUMMYFUNCTION("IF(OR(A438="""",F438=""""),"""",TEXT(WORKDAY(DATE(VALUE(LEFT(TO_TEXT(A438),4)),VALUE(MID(TO_TEXT(A438),5,2)),VALUE(RIGHT(TO_TEXT(A438),2))),F438),""yyyymmdd""))"),"")</f>
        <v/>
      </c>
      <c r="H438" s="34" t="str">
        <f t="shared" si="1"/>
        <v/>
      </c>
      <c r="I438" s="35"/>
      <c r="J438" s="35"/>
      <c r="K438" s="35"/>
    </row>
    <row r="439">
      <c r="A439" s="33"/>
      <c r="G439" s="33" t="str">
        <f>IFERROR(__xludf.DUMMYFUNCTION("IF(OR(A439="""",F439=""""),"""",TEXT(WORKDAY(DATE(VALUE(LEFT(TO_TEXT(A439),4)),VALUE(MID(TO_TEXT(A439),5,2)),VALUE(RIGHT(TO_TEXT(A439),2))),F439),""yyyymmdd""))"),"")</f>
        <v/>
      </c>
      <c r="H439" s="34" t="str">
        <f t="shared" si="1"/>
        <v/>
      </c>
      <c r="I439" s="35"/>
      <c r="J439" s="35"/>
      <c r="K439" s="35"/>
    </row>
    <row r="440">
      <c r="A440" s="33"/>
      <c r="G440" s="33" t="str">
        <f>IFERROR(__xludf.DUMMYFUNCTION("IF(OR(A440="""",F440=""""),"""",TEXT(WORKDAY(DATE(VALUE(LEFT(TO_TEXT(A440),4)),VALUE(MID(TO_TEXT(A440),5,2)),VALUE(RIGHT(TO_TEXT(A440),2))),F440),""yyyymmdd""))"),"")</f>
        <v/>
      </c>
      <c r="H440" s="34" t="str">
        <f t="shared" si="1"/>
        <v/>
      </c>
      <c r="I440" s="35"/>
      <c r="J440" s="35"/>
      <c r="K440" s="35"/>
    </row>
    <row r="441">
      <c r="A441" s="33"/>
      <c r="G441" s="33" t="str">
        <f>IFERROR(__xludf.DUMMYFUNCTION("IF(OR(A441="""",F441=""""),"""",TEXT(WORKDAY(DATE(VALUE(LEFT(TO_TEXT(A441),4)),VALUE(MID(TO_TEXT(A441),5,2)),VALUE(RIGHT(TO_TEXT(A441),2))),F441),""yyyymmdd""))"),"")</f>
        <v/>
      </c>
      <c r="H441" s="34" t="str">
        <f t="shared" si="1"/>
        <v/>
      </c>
      <c r="I441" s="35"/>
      <c r="J441" s="35"/>
      <c r="K441" s="35"/>
    </row>
    <row r="442">
      <c r="A442" s="33"/>
      <c r="G442" s="33" t="str">
        <f>IFERROR(__xludf.DUMMYFUNCTION("IF(OR(A442="""",F442=""""),"""",TEXT(WORKDAY(DATE(VALUE(LEFT(TO_TEXT(A442),4)),VALUE(MID(TO_TEXT(A442),5,2)),VALUE(RIGHT(TO_TEXT(A442),2))),F442),""yyyymmdd""))"),"")</f>
        <v/>
      </c>
      <c r="H442" s="34" t="str">
        <f t="shared" si="1"/>
        <v/>
      </c>
      <c r="I442" s="35"/>
      <c r="J442" s="35"/>
      <c r="K442" s="35"/>
    </row>
    <row r="443">
      <c r="A443" s="33"/>
      <c r="G443" s="33" t="str">
        <f>IFERROR(__xludf.DUMMYFUNCTION("IF(OR(A443="""",F443=""""),"""",TEXT(WORKDAY(DATE(VALUE(LEFT(TO_TEXT(A443),4)),VALUE(MID(TO_TEXT(A443),5,2)),VALUE(RIGHT(TO_TEXT(A443),2))),F443),""yyyymmdd""))"),"")</f>
        <v/>
      </c>
      <c r="H443" s="34" t="str">
        <f t="shared" si="1"/>
        <v/>
      </c>
      <c r="I443" s="35"/>
      <c r="J443" s="35"/>
      <c r="K443" s="35"/>
    </row>
    <row r="444">
      <c r="A444" s="33"/>
      <c r="G444" s="33" t="str">
        <f>IFERROR(__xludf.DUMMYFUNCTION("IF(OR(A444="""",F444=""""),"""",TEXT(WORKDAY(DATE(VALUE(LEFT(TO_TEXT(A444),4)),VALUE(MID(TO_TEXT(A444),5,2)),VALUE(RIGHT(TO_TEXT(A444),2))),F444),""yyyymmdd""))"),"")</f>
        <v/>
      </c>
      <c r="H444" s="34" t="str">
        <f t="shared" si="1"/>
        <v/>
      </c>
      <c r="I444" s="35"/>
      <c r="J444" s="35"/>
      <c r="K444" s="35"/>
    </row>
    <row r="445">
      <c r="A445" s="33"/>
      <c r="G445" s="33" t="str">
        <f>IFERROR(__xludf.DUMMYFUNCTION("IF(OR(A445="""",F445=""""),"""",TEXT(WORKDAY(DATE(VALUE(LEFT(TO_TEXT(A445),4)),VALUE(MID(TO_TEXT(A445),5,2)),VALUE(RIGHT(TO_TEXT(A445),2))),F445),""yyyymmdd""))"),"")</f>
        <v/>
      </c>
      <c r="H445" s="34" t="str">
        <f t="shared" si="1"/>
        <v/>
      </c>
      <c r="I445" s="35"/>
      <c r="J445" s="35"/>
      <c r="K445" s="35"/>
    </row>
    <row r="446">
      <c r="A446" s="33"/>
      <c r="G446" s="33" t="str">
        <f>IFERROR(__xludf.DUMMYFUNCTION("IF(OR(A446="""",F446=""""),"""",TEXT(WORKDAY(DATE(VALUE(LEFT(TO_TEXT(A446),4)),VALUE(MID(TO_TEXT(A446),5,2)),VALUE(RIGHT(TO_TEXT(A446),2))),F446),""yyyymmdd""))"),"")</f>
        <v/>
      </c>
      <c r="H446" s="34" t="str">
        <f t="shared" si="1"/>
        <v/>
      </c>
      <c r="I446" s="35"/>
      <c r="J446" s="35"/>
      <c r="K446" s="35"/>
    </row>
    <row r="447">
      <c r="A447" s="33"/>
      <c r="G447" s="33" t="str">
        <f>IFERROR(__xludf.DUMMYFUNCTION("IF(OR(A447="""",F447=""""),"""",TEXT(WORKDAY(DATE(VALUE(LEFT(TO_TEXT(A447),4)),VALUE(MID(TO_TEXT(A447),5,2)),VALUE(RIGHT(TO_TEXT(A447),2))),F447),""yyyymmdd""))"),"")</f>
        <v/>
      </c>
      <c r="H447" s="34" t="str">
        <f t="shared" si="1"/>
        <v/>
      </c>
      <c r="I447" s="35"/>
      <c r="J447" s="35"/>
      <c r="K447" s="35"/>
    </row>
    <row r="448">
      <c r="A448" s="33"/>
      <c r="G448" s="33" t="str">
        <f>IFERROR(__xludf.DUMMYFUNCTION("IF(OR(A448="""",F448=""""),"""",TEXT(WORKDAY(DATE(VALUE(LEFT(TO_TEXT(A448),4)),VALUE(MID(TO_TEXT(A448),5,2)),VALUE(RIGHT(TO_TEXT(A448),2))),F448),""yyyymmdd""))"),"")</f>
        <v/>
      </c>
      <c r="H448" s="34" t="str">
        <f t="shared" si="1"/>
        <v/>
      </c>
      <c r="I448" s="35"/>
      <c r="J448" s="35"/>
      <c r="K448" s="35"/>
    </row>
    <row r="449">
      <c r="A449" s="33"/>
      <c r="G449" s="33" t="str">
        <f>IFERROR(__xludf.DUMMYFUNCTION("IF(OR(A449="""",F449=""""),"""",TEXT(WORKDAY(DATE(VALUE(LEFT(TO_TEXT(A449),4)),VALUE(MID(TO_TEXT(A449),5,2)),VALUE(RIGHT(TO_TEXT(A449),2))),F449),""yyyymmdd""))"),"")</f>
        <v/>
      </c>
      <c r="H449" s="34" t="str">
        <f t="shared" si="1"/>
        <v/>
      </c>
      <c r="I449" s="35"/>
      <c r="J449" s="35"/>
      <c r="K449" s="35"/>
    </row>
    <row r="450">
      <c r="A450" s="33"/>
      <c r="G450" s="33" t="str">
        <f>IFERROR(__xludf.DUMMYFUNCTION("IF(OR(A450="""",F450=""""),"""",TEXT(WORKDAY(DATE(VALUE(LEFT(TO_TEXT(A450),4)),VALUE(MID(TO_TEXT(A450),5,2)),VALUE(RIGHT(TO_TEXT(A450),2))),F450),""yyyymmdd""))"),"")</f>
        <v/>
      </c>
      <c r="H450" s="34" t="str">
        <f t="shared" si="1"/>
        <v/>
      </c>
      <c r="I450" s="35"/>
      <c r="J450" s="35"/>
      <c r="K450" s="35"/>
    </row>
    <row r="451">
      <c r="A451" s="33"/>
      <c r="G451" s="33" t="str">
        <f>IFERROR(__xludf.DUMMYFUNCTION("IF(OR(A451="""",F451=""""),"""",TEXT(WORKDAY(DATE(VALUE(LEFT(TO_TEXT(A451),4)),VALUE(MID(TO_TEXT(A451),5,2)),VALUE(RIGHT(TO_TEXT(A451),2))),F451),""yyyymmdd""))"),"")</f>
        <v/>
      </c>
      <c r="H451" s="34" t="str">
        <f t="shared" si="1"/>
        <v/>
      </c>
      <c r="I451" s="35"/>
      <c r="J451" s="35"/>
      <c r="K451" s="35"/>
    </row>
    <row r="452">
      <c r="A452" s="33"/>
      <c r="G452" s="33" t="str">
        <f>IFERROR(__xludf.DUMMYFUNCTION("IF(OR(A452="""",F452=""""),"""",TEXT(WORKDAY(DATE(VALUE(LEFT(TO_TEXT(A452),4)),VALUE(MID(TO_TEXT(A452),5,2)),VALUE(RIGHT(TO_TEXT(A452),2))),F452),""yyyymmdd""))"),"")</f>
        <v/>
      </c>
      <c r="H452" s="34" t="str">
        <f t="shared" si="1"/>
        <v/>
      </c>
      <c r="I452" s="35"/>
      <c r="J452" s="35"/>
      <c r="K452" s="35"/>
    </row>
    <row r="453">
      <c r="A453" s="33"/>
      <c r="G453" s="33" t="str">
        <f>IFERROR(__xludf.DUMMYFUNCTION("IF(OR(A453="""",F453=""""),"""",TEXT(WORKDAY(DATE(VALUE(LEFT(TO_TEXT(A453),4)),VALUE(MID(TO_TEXT(A453),5,2)),VALUE(RIGHT(TO_TEXT(A453),2))),F453),""yyyymmdd""))"),"")</f>
        <v/>
      </c>
      <c r="H453" s="34" t="str">
        <f t="shared" si="1"/>
        <v/>
      </c>
      <c r="I453" s="35"/>
      <c r="J453" s="35"/>
      <c r="K453" s="35"/>
    </row>
    <row r="454">
      <c r="A454" s="33"/>
      <c r="G454" s="33" t="str">
        <f>IFERROR(__xludf.DUMMYFUNCTION("IF(OR(A454="""",F454=""""),"""",TEXT(WORKDAY(DATE(VALUE(LEFT(TO_TEXT(A454),4)),VALUE(MID(TO_TEXT(A454),5,2)),VALUE(RIGHT(TO_TEXT(A454),2))),F454),""yyyymmdd""))"),"")</f>
        <v/>
      </c>
      <c r="H454" s="34" t="str">
        <f t="shared" si="1"/>
        <v/>
      </c>
      <c r="I454" s="35"/>
      <c r="J454" s="35"/>
      <c r="K454" s="35"/>
    </row>
    <row r="455">
      <c r="A455" s="33"/>
      <c r="G455" s="33" t="str">
        <f>IFERROR(__xludf.DUMMYFUNCTION("IF(OR(A455="""",F455=""""),"""",TEXT(WORKDAY(DATE(VALUE(LEFT(TO_TEXT(A455),4)),VALUE(MID(TO_TEXT(A455),5,2)),VALUE(RIGHT(TO_TEXT(A455),2))),F455),""yyyymmdd""))"),"")</f>
        <v/>
      </c>
      <c r="H455" s="34" t="str">
        <f t="shared" si="1"/>
        <v/>
      </c>
      <c r="I455" s="35"/>
      <c r="J455" s="35"/>
      <c r="K455" s="35"/>
    </row>
    <row r="456">
      <c r="A456" s="33"/>
      <c r="G456" s="33" t="str">
        <f>IFERROR(__xludf.DUMMYFUNCTION("IF(OR(A456="""",F456=""""),"""",TEXT(WORKDAY(DATE(VALUE(LEFT(TO_TEXT(A456),4)),VALUE(MID(TO_TEXT(A456),5,2)),VALUE(RIGHT(TO_TEXT(A456),2))),F456),""yyyymmdd""))"),"")</f>
        <v/>
      </c>
      <c r="H456" s="34" t="str">
        <f t="shared" si="1"/>
        <v/>
      </c>
      <c r="I456" s="35"/>
      <c r="J456" s="35"/>
      <c r="K456" s="35"/>
    </row>
    <row r="457">
      <c r="A457" s="33"/>
      <c r="G457" s="33" t="str">
        <f>IFERROR(__xludf.DUMMYFUNCTION("IF(OR(A457="""",F457=""""),"""",TEXT(WORKDAY(DATE(VALUE(LEFT(TO_TEXT(A457),4)),VALUE(MID(TO_TEXT(A457),5,2)),VALUE(RIGHT(TO_TEXT(A457),2))),F457),""yyyymmdd""))"),"")</f>
        <v/>
      </c>
      <c r="H457" s="34" t="str">
        <f t="shared" si="1"/>
        <v/>
      </c>
      <c r="I457" s="35"/>
      <c r="J457" s="35"/>
      <c r="K457" s="35"/>
    </row>
    <row r="458">
      <c r="A458" s="33"/>
      <c r="G458" s="33" t="str">
        <f>IFERROR(__xludf.DUMMYFUNCTION("IF(OR(A458="""",F458=""""),"""",TEXT(WORKDAY(DATE(VALUE(LEFT(TO_TEXT(A458),4)),VALUE(MID(TO_TEXT(A458),5,2)),VALUE(RIGHT(TO_TEXT(A458),2))),F458),""yyyymmdd""))"),"")</f>
        <v/>
      </c>
      <c r="H458" s="34" t="str">
        <f t="shared" si="1"/>
        <v/>
      </c>
      <c r="I458" s="35"/>
      <c r="J458" s="35"/>
      <c r="K458" s="35"/>
    </row>
    <row r="459">
      <c r="A459" s="33"/>
      <c r="G459" s="33" t="str">
        <f>IFERROR(__xludf.DUMMYFUNCTION("IF(OR(A459="""",F459=""""),"""",TEXT(WORKDAY(DATE(VALUE(LEFT(TO_TEXT(A459),4)),VALUE(MID(TO_TEXT(A459),5,2)),VALUE(RIGHT(TO_TEXT(A459),2))),F459),""yyyymmdd""))"),"")</f>
        <v/>
      </c>
      <c r="H459" s="34" t="str">
        <f t="shared" si="1"/>
        <v/>
      </c>
      <c r="I459" s="35"/>
      <c r="J459" s="35"/>
      <c r="K459" s="35"/>
    </row>
    <row r="460">
      <c r="A460" s="33"/>
      <c r="G460" s="33" t="str">
        <f>IFERROR(__xludf.DUMMYFUNCTION("IF(OR(A460="""",F460=""""),"""",TEXT(WORKDAY(DATE(VALUE(LEFT(TO_TEXT(A460),4)),VALUE(MID(TO_TEXT(A460),5,2)),VALUE(RIGHT(TO_TEXT(A460),2))),F460),""yyyymmdd""))"),"")</f>
        <v/>
      </c>
      <c r="H460" s="34" t="str">
        <f t="shared" si="1"/>
        <v/>
      </c>
      <c r="I460" s="35"/>
      <c r="J460" s="35"/>
      <c r="K460" s="35"/>
    </row>
    <row r="461">
      <c r="A461" s="33"/>
      <c r="G461" s="33" t="str">
        <f>IFERROR(__xludf.DUMMYFUNCTION("IF(OR(A461="""",F461=""""),"""",TEXT(WORKDAY(DATE(VALUE(LEFT(TO_TEXT(A461),4)),VALUE(MID(TO_TEXT(A461),5,2)),VALUE(RIGHT(TO_TEXT(A461),2))),F461),""yyyymmdd""))"),"")</f>
        <v/>
      </c>
      <c r="H461" s="34" t="str">
        <f t="shared" si="1"/>
        <v/>
      </c>
      <c r="I461" s="35"/>
      <c r="J461" s="35"/>
      <c r="K461" s="35"/>
    </row>
    <row r="462">
      <c r="A462" s="33"/>
      <c r="G462" s="33" t="str">
        <f>IFERROR(__xludf.DUMMYFUNCTION("IF(OR(A462="""",F462=""""),"""",TEXT(WORKDAY(DATE(VALUE(LEFT(TO_TEXT(A462),4)),VALUE(MID(TO_TEXT(A462),5,2)),VALUE(RIGHT(TO_TEXT(A462),2))),F462),""yyyymmdd""))"),"")</f>
        <v/>
      </c>
      <c r="H462" s="34" t="str">
        <f t="shared" si="1"/>
        <v/>
      </c>
      <c r="I462" s="35"/>
      <c r="J462" s="35"/>
      <c r="K462" s="35"/>
    </row>
    <row r="463">
      <c r="A463" s="33"/>
      <c r="G463" s="33" t="str">
        <f>IFERROR(__xludf.DUMMYFUNCTION("IF(OR(A463="""",F463=""""),"""",TEXT(WORKDAY(DATE(VALUE(LEFT(TO_TEXT(A463),4)),VALUE(MID(TO_TEXT(A463),5,2)),VALUE(RIGHT(TO_TEXT(A463),2))),F463),""yyyymmdd""))"),"")</f>
        <v/>
      </c>
      <c r="H463" s="34" t="str">
        <f t="shared" si="1"/>
        <v/>
      </c>
      <c r="I463" s="35"/>
      <c r="J463" s="35"/>
      <c r="K463" s="35"/>
    </row>
    <row r="464">
      <c r="A464" s="33"/>
      <c r="G464" s="33" t="str">
        <f>IFERROR(__xludf.DUMMYFUNCTION("IF(OR(A464="""",F464=""""),"""",TEXT(WORKDAY(DATE(VALUE(LEFT(TO_TEXT(A464),4)),VALUE(MID(TO_TEXT(A464),5,2)),VALUE(RIGHT(TO_TEXT(A464),2))),F464),""yyyymmdd""))"),"")</f>
        <v/>
      </c>
      <c r="H464" s="34" t="str">
        <f t="shared" si="1"/>
        <v/>
      </c>
      <c r="I464" s="35"/>
      <c r="J464" s="35"/>
      <c r="K464" s="35"/>
    </row>
    <row r="465">
      <c r="A465" s="33"/>
      <c r="G465" s="33" t="str">
        <f>IFERROR(__xludf.DUMMYFUNCTION("IF(OR(A465="""",F465=""""),"""",TEXT(WORKDAY(DATE(VALUE(LEFT(TO_TEXT(A465),4)),VALUE(MID(TO_TEXT(A465),5,2)),VALUE(RIGHT(TO_TEXT(A465),2))),F465),""yyyymmdd""))"),"")</f>
        <v/>
      </c>
      <c r="H465" s="34" t="str">
        <f t="shared" si="1"/>
        <v/>
      </c>
      <c r="I465" s="35"/>
      <c r="J465" s="35"/>
      <c r="K465" s="35"/>
    </row>
    <row r="466">
      <c r="A466" s="33"/>
      <c r="G466" s="33" t="str">
        <f>IFERROR(__xludf.DUMMYFUNCTION("IF(OR(A466="""",F466=""""),"""",TEXT(WORKDAY(DATE(VALUE(LEFT(TO_TEXT(A466),4)),VALUE(MID(TO_TEXT(A466),5,2)),VALUE(RIGHT(TO_TEXT(A466),2))),F466),""yyyymmdd""))"),"")</f>
        <v/>
      </c>
      <c r="H466" s="34" t="str">
        <f t="shared" si="1"/>
        <v/>
      </c>
      <c r="I466" s="35"/>
      <c r="J466" s="35"/>
      <c r="K466" s="35"/>
    </row>
    <row r="467">
      <c r="A467" s="33"/>
      <c r="G467" s="33" t="str">
        <f>IFERROR(__xludf.DUMMYFUNCTION("IF(OR(A467="""",F467=""""),"""",TEXT(WORKDAY(DATE(VALUE(LEFT(TO_TEXT(A467),4)),VALUE(MID(TO_TEXT(A467),5,2)),VALUE(RIGHT(TO_TEXT(A467),2))),F467),""yyyymmdd""))"),"")</f>
        <v/>
      </c>
      <c r="H467" s="34" t="str">
        <f t="shared" si="1"/>
        <v/>
      </c>
      <c r="I467" s="35"/>
      <c r="J467" s="35"/>
      <c r="K467" s="35"/>
    </row>
    <row r="468">
      <c r="A468" s="33"/>
      <c r="G468" s="33" t="str">
        <f>IFERROR(__xludf.DUMMYFUNCTION("IF(OR(A468="""",F468=""""),"""",TEXT(WORKDAY(DATE(VALUE(LEFT(TO_TEXT(A468),4)),VALUE(MID(TO_TEXT(A468),5,2)),VALUE(RIGHT(TO_TEXT(A468),2))),F468),""yyyymmdd""))"),"")</f>
        <v/>
      </c>
      <c r="H468" s="34" t="str">
        <f t="shared" si="1"/>
        <v/>
      </c>
      <c r="I468" s="35"/>
      <c r="J468" s="35"/>
      <c r="K468" s="35"/>
    </row>
    <row r="469">
      <c r="A469" s="33"/>
      <c r="G469" s="33" t="str">
        <f>IFERROR(__xludf.DUMMYFUNCTION("IF(OR(A469="""",F469=""""),"""",TEXT(WORKDAY(DATE(VALUE(LEFT(TO_TEXT(A469),4)),VALUE(MID(TO_TEXT(A469),5,2)),VALUE(RIGHT(TO_TEXT(A469),2))),F469),""yyyymmdd""))"),"")</f>
        <v/>
      </c>
      <c r="H469" s="34" t="str">
        <f t="shared" si="1"/>
        <v/>
      </c>
      <c r="I469" s="35"/>
      <c r="J469" s="35"/>
      <c r="K469" s="35"/>
    </row>
    <row r="470">
      <c r="A470" s="33"/>
      <c r="G470" s="33" t="str">
        <f>IFERROR(__xludf.DUMMYFUNCTION("IF(OR(A470="""",F470=""""),"""",TEXT(WORKDAY(DATE(VALUE(LEFT(TO_TEXT(A470),4)),VALUE(MID(TO_TEXT(A470),5,2)),VALUE(RIGHT(TO_TEXT(A470),2))),F470),""yyyymmdd""))"),"")</f>
        <v/>
      </c>
      <c r="H470" s="34" t="str">
        <f t="shared" si="1"/>
        <v/>
      </c>
      <c r="I470" s="35"/>
      <c r="J470" s="35"/>
      <c r="K470" s="35"/>
    </row>
    <row r="471">
      <c r="A471" s="33"/>
      <c r="G471" s="33" t="str">
        <f>IFERROR(__xludf.DUMMYFUNCTION("IF(OR(A471="""",F471=""""),"""",TEXT(WORKDAY(DATE(VALUE(LEFT(TO_TEXT(A471),4)),VALUE(MID(TO_TEXT(A471),5,2)),VALUE(RIGHT(TO_TEXT(A471),2))),F471),""yyyymmdd""))"),"")</f>
        <v/>
      </c>
      <c r="H471" s="34" t="str">
        <f t="shared" si="1"/>
        <v/>
      </c>
      <c r="I471" s="35"/>
      <c r="J471" s="35"/>
      <c r="K471" s="35"/>
    </row>
    <row r="472">
      <c r="A472" s="33"/>
      <c r="G472" s="33" t="str">
        <f>IFERROR(__xludf.DUMMYFUNCTION("IF(OR(A472="""",F472=""""),"""",TEXT(WORKDAY(DATE(VALUE(LEFT(TO_TEXT(A472),4)),VALUE(MID(TO_TEXT(A472),5,2)),VALUE(RIGHT(TO_TEXT(A472),2))),F472),""yyyymmdd""))"),"")</f>
        <v/>
      </c>
      <c r="H472" s="34" t="str">
        <f t="shared" si="1"/>
        <v/>
      </c>
      <c r="I472" s="35"/>
      <c r="J472" s="35"/>
      <c r="K472" s="35"/>
    </row>
    <row r="473">
      <c r="A473" s="33"/>
      <c r="G473" s="33" t="str">
        <f>IFERROR(__xludf.DUMMYFUNCTION("IF(OR(A473="""",F473=""""),"""",TEXT(WORKDAY(DATE(VALUE(LEFT(TO_TEXT(A473),4)),VALUE(MID(TO_TEXT(A473),5,2)),VALUE(RIGHT(TO_TEXT(A473),2))),F473),""yyyymmdd""))"),"")</f>
        <v/>
      </c>
      <c r="H473" s="34" t="str">
        <f t="shared" si="1"/>
        <v/>
      </c>
      <c r="I473" s="35"/>
      <c r="J473" s="35"/>
      <c r="K473" s="35"/>
    </row>
    <row r="474">
      <c r="A474" s="33"/>
      <c r="G474" s="33" t="str">
        <f>IFERROR(__xludf.DUMMYFUNCTION("IF(OR(A474="""",F474=""""),"""",TEXT(WORKDAY(DATE(VALUE(LEFT(TO_TEXT(A474),4)),VALUE(MID(TO_TEXT(A474),5,2)),VALUE(RIGHT(TO_TEXT(A474),2))),F474),""yyyymmdd""))"),"")</f>
        <v/>
      </c>
      <c r="H474" s="34" t="str">
        <f t="shared" si="1"/>
        <v/>
      </c>
      <c r="I474" s="35"/>
      <c r="J474" s="35"/>
      <c r="K474" s="35"/>
    </row>
    <row r="475">
      <c r="A475" s="33"/>
      <c r="G475" s="33" t="str">
        <f>IFERROR(__xludf.DUMMYFUNCTION("IF(OR(A475="""",F475=""""),"""",TEXT(WORKDAY(DATE(VALUE(LEFT(TO_TEXT(A475),4)),VALUE(MID(TO_TEXT(A475),5,2)),VALUE(RIGHT(TO_TEXT(A475),2))),F475),""yyyymmdd""))"),"")</f>
        <v/>
      </c>
      <c r="H475" s="34" t="str">
        <f t="shared" si="1"/>
        <v/>
      </c>
      <c r="I475" s="35"/>
      <c r="J475" s="35"/>
      <c r="K475" s="35"/>
    </row>
    <row r="476">
      <c r="A476" s="33"/>
      <c r="G476" s="33" t="str">
        <f>IFERROR(__xludf.DUMMYFUNCTION("IF(OR(A476="""",F476=""""),"""",TEXT(WORKDAY(DATE(VALUE(LEFT(TO_TEXT(A476),4)),VALUE(MID(TO_TEXT(A476),5,2)),VALUE(RIGHT(TO_TEXT(A476),2))),F476),""yyyymmdd""))"),"")</f>
        <v/>
      </c>
      <c r="H476" s="34" t="str">
        <f t="shared" si="1"/>
        <v/>
      </c>
      <c r="I476" s="35"/>
      <c r="J476" s="35"/>
      <c r="K476" s="35"/>
    </row>
    <row r="477">
      <c r="A477" s="33"/>
      <c r="G477" s="33" t="str">
        <f>IFERROR(__xludf.DUMMYFUNCTION("IF(OR(A477="""",F477=""""),"""",TEXT(WORKDAY(DATE(VALUE(LEFT(TO_TEXT(A477),4)),VALUE(MID(TO_TEXT(A477),5,2)),VALUE(RIGHT(TO_TEXT(A477),2))),F477),""yyyymmdd""))"),"")</f>
        <v/>
      </c>
      <c r="H477" s="34" t="str">
        <f t="shared" si="1"/>
        <v/>
      </c>
      <c r="I477" s="35"/>
      <c r="J477" s="35"/>
      <c r="K477" s="35"/>
    </row>
    <row r="478">
      <c r="A478" s="33"/>
      <c r="G478" s="33" t="str">
        <f>IFERROR(__xludf.DUMMYFUNCTION("IF(OR(A478="""",F478=""""),"""",TEXT(WORKDAY(DATE(VALUE(LEFT(TO_TEXT(A478),4)),VALUE(MID(TO_TEXT(A478),5,2)),VALUE(RIGHT(TO_TEXT(A478),2))),F478),""yyyymmdd""))"),"")</f>
        <v/>
      </c>
      <c r="H478" s="34" t="str">
        <f t="shared" si="1"/>
        <v/>
      </c>
      <c r="I478" s="35"/>
      <c r="J478" s="35"/>
      <c r="K478" s="35"/>
    </row>
    <row r="479">
      <c r="A479" s="33"/>
      <c r="G479" s="33" t="str">
        <f>IFERROR(__xludf.DUMMYFUNCTION("IF(OR(A479="""",F479=""""),"""",TEXT(WORKDAY(DATE(VALUE(LEFT(TO_TEXT(A479),4)),VALUE(MID(TO_TEXT(A479),5,2)),VALUE(RIGHT(TO_TEXT(A479),2))),F479),""yyyymmdd""))"),"")</f>
        <v/>
      </c>
      <c r="H479" s="34" t="str">
        <f t="shared" si="1"/>
        <v/>
      </c>
      <c r="I479" s="35"/>
      <c r="J479" s="35"/>
      <c r="K479" s="35"/>
    </row>
    <row r="480">
      <c r="A480" s="33"/>
      <c r="G480" s="33" t="str">
        <f>IFERROR(__xludf.DUMMYFUNCTION("IF(OR(A480="""",F480=""""),"""",TEXT(WORKDAY(DATE(VALUE(LEFT(TO_TEXT(A480),4)),VALUE(MID(TO_TEXT(A480),5,2)),VALUE(RIGHT(TO_TEXT(A480),2))),F480),""yyyymmdd""))"),"")</f>
        <v/>
      </c>
      <c r="H480" s="34" t="str">
        <f t="shared" si="1"/>
        <v/>
      </c>
      <c r="I480" s="35"/>
      <c r="J480" s="35"/>
      <c r="K480" s="35"/>
    </row>
    <row r="481">
      <c r="A481" s="33"/>
      <c r="G481" s="33" t="str">
        <f>IFERROR(__xludf.DUMMYFUNCTION("IF(OR(A481="""",F481=""""),"""",TEXT(WORKDAY(DATE(VALUE(LEFT(TO_TEXT(A481),4)),VALUE(MID(TO_TEXT(A481),5,2)),VALUE(RIGHT(TO_TEXT(A481),2))),F481),""yyyymmdd""))"),"")</f>
        <v/>
      </c>
      <c r="H481" s="34" t="str">
        <f t="shared" si="1"/>
        <v/>
      </c>
      <c r="I481" s="35"/>
      <c r="J481" s="35"/>
      <c r="K481" s="35"/>
    </row>
    <row r="482">
      <c r="A482" s="33"/>
      <c r="G482" s="33" t="str">
        <f>IFERROR(__xludf.DUMMYFUNCTION("IF(OR(A482="""",F482=""""),"""",TEXT(WORKDAY(DATE(VALUE(LEFT(TO_TEXT(A482),4)),VALUE(MID(TO_TEXT(A482),5,2)),VALUE(RIGHT(TO_TEXT(A482),2))),F482),""yyyymmdd""))"),"")</f>
        <v/>
      </c>
      <c r="H482" s="34" t="str">
        <f t="shared" si="1"/>
        <v/>
      </c>
      <c r="I482" s="35"/>
      <c r="J482" s="35"/>
      <c r="K482" s="35"/>
    </row>
    <row r="483">
      <c r="A483" s="33"/>
      <c r="G483" s="33" t="str">
        <f>IFERROR(__xludf.DUMMYFUNCTION("IF(OR(A483="""",F483=""""),"""",TEXT(WORKDAY(DATE(VALUE(LEFT(TO_TEXT(A483),4)),VALUE(MID(TO_TEXT(A483),5,2)),VALUE(RIGHT(TO_TEXT(A483),2))),F483),""yyyymmdd""))"),"")</f>
        <v/>
      </c>
      <c r="H483" s="34" t="str">
        <f t="shared" si="1"/>
        <v/>
      </c>
      <c r="I483" s="35"/>
      <c r="J483" s="35"/>
      <c r="K483" s="35"/>
    </row>
    <row r="484">
      <c r="A484" s="33"/>
      <c r="G484" s="33" t="str">
        <f>IFERROR(__xludf.DUMMYFUNCTION("IF(OR(A484="""",F484=""""),"""",TEXT(WORKDAY(DATE(VALUE(LEFT(TO_TEXT(A484),4)),VALUE(MID(TO_TEXT(A484),5,2)),VALUE(RIGHT(TO_TEXT(A484),2))),F484),""yyyymmdd""))"),"")</f>
        <v/>
      </c>
      <c r="H484" s="34" t="str">
        <f t="shared" si="1"/>
        <v/>
      </c>
      <c r="I484" s="35"/>
      <c r="J484" s="35"/>
      <c r="K484" s="35"/>
    </row>
    <row r="485">
      <c r="A485" s="33"/>
      <c r="G485" s="33" t="str">
        <f>IFERROR(__xludf.DUMMYFUNCTION("IF(OR(A485="""",F485=""""),"""",TEXT(WORKDAY(DATE(VALUE(LEFT(TO_TEXT(A485),4)),VALUE(MID(TO_TEXT(A485),5,2)),VALUE(RIGHT(TO_TEXT(A485),2))),F485),""yyyymmdd""))"),"")</f>
        <v/>
      </c>
      <c r="H485" s="34" t="str">
        <f t="shared" si="1"/>
        <v/>
      </c>
      <c r="I485" s="35"/>
      <c r="J485" s="35"/>
      <c r="K485" s="35"/>
    </row>
    <row r="486">
      <c r="A486" s="33"/>
      <c r="G486" s="33" t="str">
        <f>IFERROR(__xludf.DUMMYFUNCTION("IF(OR(A486="""",F486=""""),"""",TEXT(WORKDAY(DATE(VALUE(LEFT(TO_TEXT(A486),4)),VALUE(MID(TO_TEXT(A486),5,2)),VALUE(RIGHT(TO_TEXT(A486),2))),F486),""yyyymmdd""))"),"")</f>
        <v/>
      </c>
      <c r="H486" s="34" t="str">
        <f t="shared" si="1"/>
        <v/>
      </c>
      <c r="I486" s="35"/>
      <c r="J486" s="35"/>
      <c r="K486" s="35"/>
    </row>
    <row r="487">
      <c r="A487" s="33"/>
      <c r="G487" s="33" t="str">
        <f>IFERROR(__xludf.DUMMYFUNCTION("IF(OR(A487="""",F487=""""),"""",TEXT(WORKDAY(DATE(VALUE(LEFT(TO_TEXT(A487),4)),VALUE(MID(TO_TEXT(A487),5,2)),VALUE(RIGHT(TO_TEXT(A487),2))),F487),""yyyymmdd""))"),"")</f>
        <v/>
      </c>
      <c r="H487" s="34" t="str">
        <f t="shared" si="1"/>
        <v/>
      </c>
      <c r="I487" s="35"/>
      <c r="J487" s="35"/>
      <c r="K487" s="35"/>
    </row>
    <row r="488">
      <c r="A488" s="33"/>
      <c r="G488" s="33" t="str">
        <f>IFERROR(__xludf.DUMMYFUNCTION("IF(OR(A488="""",F488=""""),"""",TEXT(WORKDAY(DATE(VALUE(LEFT(TO_TEXT(A488),4)),VALUE(MID(TO_TEXT(A488),5,2)),VALUE(RIGHT(TO_TEXT(A488),2))),F488),""yyyymmdd""))"),"")</f>
        <v/>
      </c>
      <c r="H488" s="34" t="str">
        <f t="shared" si="1"/>
        <v/>
      </c>
      <c r="I488" s="35"/>
      <c r="J488" s="35"/>
      <c r="K488" s="35"/>
    </row>
    <row r="489">
      <c r="A489" s="33"/>
      <c r="G489" s="33" t="str">
        <f>IFERROR(__xludf.DUMMYFUNCTION("IF(OR(A489="""",F489=""""),"""",TEXT(WORKDAY(DATE(VALUE(LEFT(TO_TEXT(A489),4)),VALUE(MID(TO_TEXT(A489),5,2)),VALUE(RIGHT(TO_TEXT(A489),2))),F489),""yyyymmdd""))"),"")</f>
        <v/>
      </c>
      <c r="H489" s="34" t="str">
        <f t="shared" si="1"/>
        <v/>
      </c>
      <c r="I489" s="35"/>
      <c r="J489" s="35"/>
      <c r="K489" s="35"/>
    </row>
    <row r="490">
      <c r="A490" s="33"/>
      <c r="G490" s="33" t="str">
        <f>IFERROR(__xludf.DUMMYFUNCTION("IF(OR(A490="""",F490=""""),"""",TEXT(WORKDAY(DATE(VALUE(LEFT(TO_TEXT(A490),4)),VALUE(MID(TO_TEXT(A490),5,2)),VALUE(RIGHT(TO_TEXT(A490),2))),F490),""yyyymmdd""))"),"")</f>
        <v/>
      </c>
      <c r="H490" s="34" t="str">
        <f t="shared" si="1"/>
        <v/>
      </c>
      <c r="I490" s="35"/>
      <c r="J490" s="35"/>
      <c r="K490" s="35"/>
    </row>
    <row r="491">
      <c r="A491" s="33"/>
      <c r="G491" s="33" t="str">
        <f>IFERROR(__xludf.DUMMYFUNCTION("IF(OR(A491="""",F491=""""),"""",TEXT(WORKDAY(DATE(VALUE(LEFT(TO_TEXT(A491),4)),VALUE(MID(TO_TEXT(A491),5,2)),VALUE(RIGHT(TO_TEXT(A491),2))),F491),""yyyymmdd""))"),"")</f>
        <v/>
      </c>
      <c r="H491" s="34" t="str">
        <f t="shared" si="1"/>
        <v/>
      </c>
      <c r="I491" s="35"/>
      <c r="J491" s="35"/>
      <c r="K491" s="35"/>
    </row>
    <row r="492">
      <c r="A492" s="33"/>
      <c r="G492" s="33" t="str">
        <f>IFERROR(__xludf.DUMMYFUNCTION("IF(OR(A492="""",F492=""""),"""",TEXT(WORKDAY(DATE(VALUE(LEFT(TO_TEXT(A492),4)),VALUE(MID(TO_TEXT(A492),5,2)),VALUE(RIGHT(TO_TEXT(A492),2))),F492),""yyyymmdd""))"),"")</f>
        <v/>
      </c>
      <c r="H492" s="34" t="str">
        <f t="shared" si="1"/>
        <v/>
      </c>
      <c r="I492" s="35"/>
      <c r="J492" s="35"/>
      <c r="K492" s="35"/>
    </row>
    <row r="493">
      <c r="A493" s="33"/>
      <c r="G493" s="33" t="str">
        <f>IFERROR(__xludf.DUMMYFUNCTION("IF(OR(A493="""",F493=""""),"""",TEXT(WORKDAY(DATE(VALUE(LEFT(TO_TEXT(A493),4)),VALUE(MID(TO_TEXT(A493),5,2)),VALUE(RIGHT(TO_TEXT(A493),2))),F493),""yyyymmdd""))"),"")</f>
        <v/>
      </c>
      <c r="H493" s="34" t="str">
        <f t="shared" si="1"/>
        <v/>
      </c>
      <c r="I493" s="35"/>
      <c r="J493" s="35"/>
      <c r="K493" s="35"/>
    </row>
    <row r="494">
      <c r="A494" s="33"/>
      <c r="G494" s="33" t="str">
        <f>IFERROR(__xludf.DUMMYFUNCTION("IF(OR(A494="""",F494=""""),"""",TEXT(WORKDAY(DATE(VALUE(LEFT(TO_TEXT(A494),4)),VALUE(MID(TO_TEXT(A494),5,2)),VALUE(RIGHT(TO_TEXT(A494),2))),F494),""yyyymmdd""))"),"")</f>
        <v/>
      </c>
      <c r="H494" s="34" t="str">
        <f t="shared" si="1"/>
        <v/>
      </c>
      <c r="I494" s="35"/>
      <c r="J494" s="35"/>
      <c r="K494" s="35"/>
    </row>
    <row r="495">
      <c r="A495" s="33"/>
      <c r="G495" s="33" t="str">
        <f>IFERROR(__xludf.DUMMYFUNCTION("IF(OR(A495="""",F495=""""),"""",TEXT(WORKDAY(DATE(VALUE(LEFT(TO_TEXT(A495),4)),VALUE(MID(TO_TEXT(A495),5,2)),VALUE(RIGHT(TO_TEXT(A495),2))),F495),""yyyymmdd""))"),"")</f>
        <v/>
      </c>
      <c r="H495" s="34" t="str">
        <f t="shared" si="1"/>
        <v/>
      </c>
      <c r="I495" s="35"/>
      <c r="J495" s="35"/>
      <c r="K495" s="35"/>
    </row>
    <row r="496">
      <c r="A496" s="33"/>
      <c r="G496" s="33" t="str">
        <f>IFERROR(__xludf.DUMMYFUNCTION("IF(OR(A496="""",F496=""""),"""",TEXT(WORKDAY(DATE(VALUE(LEFT(TO_TEXT(A496),4)),VALUE(MID(TO_TEXT(A496),5,2)),VALUE(RIGHT(TO_TEXT(A496),2))),F496),""yyyymmdd""))"),"")</f>
        <v/>
      </c>
      <c r="H496" s="34" t="str">
        <f t="shared" si="1"/>
        <v/>
      </c>
      <c r="I496" s="35"/>
      <c r="J496" s="35"/>
      <c r="K496" s="35"/>
    </row>
    <row r="497">
      <c r="A497" s="33"/>
      <c r="G497" s="33" t="str">
        <f>IFERROR(__xludf.DUMMYFUNCTION("IF(OR(A497="""",F497=""""),"""",TEXT(WORKDAY(DATE(VALUE(LEFT(TO_TEXT(A497),4)),VALUE(MID(TO_TEXT(A497),5,2)),VALUE(RIGHT(TO_TEXT(A497),2))),F497),""yyyymmdd""))"),"")</f>
        <v/>
      </c>
      <c r="H497" s="34" t="str">
        <f t="shared" si="1"/>
        <v/>
      </c>
      <c r="I497" s="35"/>
      <c r="J497" s="35"/>
      <c r="K497" s="35"/>
    </row>
    <row r="498">
      <c r="A498" s="33"/>
      <c r="G498" s="33" t="str">
        <f>IFERROR(__xludf.DUMMYFUNCTION("IF(OR(A498="""",F498=""""),"""",TEXT(WORKDAY(DATE(VALUE(LEFT(TO_TEXT(A498),4)),VALUE(MID(TO_TEXT(A498),5,2)),VALUE(RIGHT(TO_TEXT(A498),2))),F498),""yyyymmdd""))"),"")</f>
        <v/>
      </c>
      <c r="H498" s="34" t="str">
        <f t="shared" si="1"/>
        <v/>
      </c>
      <c r="I498" s="35"/>
      <c r="J498" s="35"/>
      <c r="K498" s="35"/>
    </row>
    <row r="499">
      <c r="A499" s="33"/>
      <c r="G499" s="33" t="str">
        <f>IFERROR(__xludf.DUMMYFUNCTION("IF(OR(A499="""",F499=""""),"""",TEXT(WORKDAY(DATE(VALUE(LEFT(TO_TEXT(A499),4)),VALUE(MID(TO_TEXT(A499),5,2)),VALUE(RIGHT(TO_TEXT(A499),2))),F499),""yyyymmdd""))"),"")</f>
        <v/>
      </c>
      <c r="H499" s="34" t="str">
        <f t="shared" si="1"/>
        <v/>
      </c>
      <c r="I499" s="35"/>
      <c r="J499" s="35"/>
      <c r="K499" s="35"/>
    </row>
    <row r="500">
      <c r="A500" s="33"/>
      <c r="G500" s="33" t="str">
        <f>IFERROR(__xludf.DUMMYFUNCTION("IF(OR(A500="""",F500=""""),"""",TEXT(WORKDAY(DATE(VALUE(LEFT(TO_TEXT(A500),4)),VALUE(MID(TO_TEXT(A500),5,2)),VALUE(RIGHT(TO_TEXT(A500),2))),F500),""yyyymmdd""))"),"")</f>
        <v/>
      </c>
      <c r="H500" s="34" t="str">
        <f t="shared" si="1"/>
        <v/>
      </c>
      <c r="I500" s="35"/>
      <c r="J500" s="35"/>
      <c r="K500" s="35"/>
    </row>
    <row r="501">
      <c r="A501" s="33"/>
      <c r="G501" s="33" t="str">
        <f>IFERROR(__xludf.DUMMYFUNCTION("IF(OR(A501="""",F501=""""),"""",TEXT(WORKDAY(DATE(VALUE(LEFT(TO_TEXT(A501),4)),VALUE(MID(TO_TEXT(A501),5,2)),VALUE(RIGHT(TO_TEXT(A501),2))),F501),""yyyymmdd""))"),"")</f>
        <v/>
      </c>
      <c r="H501" s="34" t="str">
        <f t="shared" si="1"/>
        <v/>
      </c>
      <c r="I501" s="35"/>
      <c r="J501" s="35"/>
      <c r="K501" s="35"/>
    </row>
    <row r="502">
      <c r="A502" s="33"/>
      <c r="G502" s="33" t="str">
        <f>IFERROR(__xludf.DUMMYFUNCTION("IF(OR(A502="""",F502=""""),"""",TEXT(WORKDAY(DATE(VALUE(LEFT(TO_TEXT(A502),4)),VALUE(MID(TO_TEXT(A502),5,2)),VALUE(RIGHT(TO_TEXT(A502),2))),F502),""yyyymmdd""))"),"")</f>
        <v/>
      </c>
      <c r="H502" s="34" t="str">
        <f t="shared" si="1"/>
        <v/>
      </c>
      <c r="I502" s="35"/>
      <c r="J502" s="35"/>
      <c r="K502" s="35"/>
    </row>
    <row r="503">
      <c r="A503" s="33"/>
      <c r="G503" s="33" t="str">
        <f>IFERROR(__xludf.DUMMYFUNCTION("IF(OR(A503="""",F503=""""),"""",TEXT(WORKDAY(DATE(VALUE(LEFT(TO_TEXT(A503),4)),VALUE(MID(TO_TEXT(A503),5,2)),VALUE(RIGHT(TO_TEXT(A503),2))),F503),""yyyymmdd""))"),"")</f>
        <v/>
      </c>
      <c r="H503" s="34" t="str">
        <f t="shared" si="1"/>
        <v/>
      </c>
      <c r="I503" s="35"/>
      <c r="J503" s="35"/>
      <c r="K503" s="35"/>
    </row>
    <row r="504">
      <c r="A504" s="33"/>
      <c r="G504" s="33" t="str">
        <f>IFERROR(__xludf.DUMMYFUNCTION("IF(OR(A504="""",F504=""""),"""",TEXT(WORKDAY(DATE(VALUE(LEFT(TO_TEXT(A504),4)),VALUE(MID(TO_TEXT(A504),5,2)),VALUE(RIGHT(TO_TEXT(A504),2))),F504),""yyyymmdd""))"),"")</f>
        <v/>
      </c>
      <c r="H504" s="34" t="str">
        <f t="shared" si="1"/>
        <v/>
      </c>
      <c r="I504" s="35"/>
      <c r="J504" s="35"/>
      <c r="K504" s="35"/>
    </row>
    <row r="505">
      <c r="A505" s="33"/>
      <c r="G505" s="33" t="str">
        <f>IFERROR(__xludf.DUMMYFUNCTION("IF(OR(A505="""",F505=""""),"""",TEXT(WORKDAY(DATE(VALUE(LEFT(TO_TEXT(A505),4)),VALUE(MID(TO_TEXT(A505),5,2)),VALUE(RIGHT(TO_TEXT(A505),2))),F505),""yyyymmdd""))"),"")</f>
        <v/>
      </c>
      <c r="H505" s="34" t="str">
        <f t="shared" si="1"/>
        <v/>
      </c>
      <c r="I505" s="35"/>
      <c r="J505" s="35"/>
      <c r="K505" s="35"/>
    </row>
    <row r="506">
      <c r="A506" s="33"/>
      <c r="G506" s="33" t="str">
        <f>IFERROR(__xludf.DUMMYFUNCTION("IF(OR(A506="""",F506=""""),"""",TEXT(WORKDAY(DATE(VALUE(LEFT(TO_TEXT(A506),4)),VALUE(MID(TO_TEXT(A506),5,2)),VALUE(RIGHT(TO_TEXT(A506),2))),F506),""yyyymmdd""))"),"")</f>
        <v/>
      </c>
      <c r="H506" s="34" t="str">
        <f t="shared" si="1"/>
        <v/>
      </c>
      <c r="I506" s="35"/>
      <c r="J506" s="35"/>
      <c r="K506" s="35"/>
    </row>
    <row r="507">
      <c r="A507" s="33"/>
      <c r="G507" s="33" t="str">
        <f>IFERROR(__xludf.DUMMYFUNCTION("IF(OR(A507="""",F507=""""),"""",TEXT(WORKDAY(DATE(VALUE(LEFT(TO_TEXT(A507),4)),VALUE(MID(TO_TEXT(A507),5,2)),VALUE(RIGHT(TO_TEXT(A507),2))),F507),""yyyymmdd""))"),"")</f>
        <v/>
      </c>
      <c r="H507" s="34" t="str">
        <f t="shared" si="1"/>
        <v/>
      </c>
      <c r="I507" s="35"/>
      <c r="J507" s="35"/>
      <c r="K507" s="35"/>
    </row>
    <row r="508">
      <c r="A508" s="33"/>
      <c r="G508" s="33" t="str">
        <f>IFERROR(__xludf.DUMMYFUNCTION("IF(OR(A508="""",F508=""""),"""",TEXT(WORKDAY(DATE(VALUE(LEFT(TO_TEXT(A508),4)),VALUE(MID(TO_TEXT(A508),5,2)),VALUE(RIGHT(TO_TEXT(A508),2))),F508),""yyyymmdd""))"),"")</f>
        <v/>
      </c>
      <c r="H508" s="34" t="str">
        <f t="shared" si="1"/>
        <v/>
      </c>
      <c r="I508" s="35"/>
      <c r="J508" s="35"/>
      <c r="K508" s="35"/>
    </row>
    <row r="509">
      <c r="A509" s="33"/>
      <c r="G509" s="33" t="str">
        <f>IFERROR(__xludf.DUMMYFUNCTION("IF(OR(A509="""",F509=""""),"""",TEXT(WORKDAY(DATE(VALUE(LEFT(TO_TEXT(A509),4)),VALUE(MID(TO_TEXT(A509),5,2)),VALUE(RIGHT(TO_TEXT(A509),2))),F509),""yyyymmdd""))"),"")</f>
        <v/>
      </c>
      <c r="H509" s="34" t="str">
        <f t="shared" si="1"/>
        <v/>
      </c>
      <c r="I509" s="35"/>
      <c r="J509" s="35"/>
      <c r="K509" s="35"/>
    </row>
    <row r="510">
      <c r="A510" s="33"/>
      <c r="G510" s="33" t="str">
        <f>IFERROR(__xludf.DUMMYFUNCTION("IF(OR(A510="""",F510=""""),"""",TEXT(WORKDAY(DATE(VALUE(LEFT(TO_TEXT(A510),4)),VALUE(MID(TO_TEXT(A510),5,2)),VALUE(RIGHT(TO_TEXT(A510),2))),F510),""yyyymmdd""))"),"")</f>
        <v/>
      </c>
      <c r="H510" s="34" t="str">
        <f t="shared" si="1"/>
        <v/>
      </c>
      <c r="I510" s="35"/>
      <c r="J510" s="35"/>
      <c r="K510" s="35"/>
    </row>
    <row r="511">
      <c r="A511" s="33"/>
      <c r="G511" s="33" t="str">
        <f>IFERROR(__xludf.DUMMYFUNCTION("IF(OR(A511="""",F511=""""),"""",TEXT(WORKDAY(DATE(VALUE(LEFT(TO_TEXT(A511),4)),VALUE(MID(TO_TEXT(A511),5,2)),VALUE(RIGHT(TO_TEXT(A511),2))),F511),""yyyymmdd""))"),"")</f>
        <v/>
      </c>
      <c r="H511" s="34" t="str">
        <f t="shared" si="1"/>
        <v/>
      </c>
      <c r="I511" s="35"/>
      <c r="J511" s="35"/>
      <c r="K511" s="35"/>
    </row>
    <row r="512">
      <c r="A512" s="33"/>
      <c r="G512" s="33" t="str">
        <f>IFERROR(__xludf.DUMMYFUNCTION("IF(OR(A512="""",F512=""""),"""",TEXT(WORKDAY(DATE(VALUE(LEFT(TO_TEXT(A512),4)),VALUE(MID(TO_TEXT(A512),5,2)),VALUE(RIGHT(TO_TEXT(A512),2))),F512),""yyyymmdd""))"),"")</f>
        <v/>
      </c>
      <c r="H512" s="34" t="str">
        <f t="shared" si="1"/>
        <v/>
      </c>
      <c r="I512" s="35"/>
      <c r="J512" s="35"/>
      <c r="K512" s="35"/>
    </row>
    <row r="513">
      <c r="A513" s="33"/>
      <c r="G513" s="33" t="str">
        <f>IFERROR(__xludf.DUMMYFUNCTION("IF(OR(A513="""",F513=""""),"""",TEXT(WORKDAY(DATE(VALUE(LEFT(TO_TEXT(A513),4)),VALUE(MID(TO_TEXT(A513),5,2)),VALUE(RIGHT(TO_TEXT(A513),2))),F513),""yyyymmdd""))"),"")</f>
        <v/>
      </c>
      <c r="H513" s="34" t="str">
        <f t="shared" si="1"/>
        <v/>
      </c>
      <c r="I513" s="35"/>
      <c r="J513" s="35"/>
      <c r="K513" s="35"/>
    </row>
    <row r="514">
      <c r="A514" s="33"/>
      <c r="G514" s="33" t="str">
        <f>IFERROR(__xludf.DUMMYFUNCTION("IF(OR(A514="""",F514=""""),"""",TEXT(WORKDAY(DATE(VALUE(LEFT(TO_TEXT(A514),4)),VALUE(MID(TO_TEXT(A514),5,2)),VALUE(RIGHT(TO_TEXT(A514),2))),F514),""yyyymmdd""))"),"")</f>
        <v/>
      </c>
      <c r="H514" s="34" t="str">
        <f t="shared" si="1"/>
        <v/>
      </c>
      <c r="I514" s="35"/>
      <c r="J514" s="35"/>
      <c r="K514" s="35"/>
    </row>
    <row r="515">
      <c r="A515" s="33"/>
      <c r="G515" s="33" t="str">
        <f>IFERROR(__xludf.DUMMYFUNCTION("IF(OR(A515="""",F515=""""),"""",TEXT(WORKDAY(DATE(VALUE(LEFT(TO_TEXT(A515),4)),VALUE(MID(TO_TEXT(A515),5,2)),VALUE(RIGHT(TO_TEXT(A515),2))),F515),""yyyymmdd""))"),"")</f>
        <v/>
      </c>
      <c r="H515" s="34" t="str">
        <f t="shared" si="1"/>
        <v/>
      </c>
      <c r="I515" s="35"/>
      <c r="J515" s="35"/>
      <c r="K515" s="35"/>
    </row>
    <row r="516">
      <c r="A516" s="33"/>
      <c r="G516" s="33" t="str">
        <f>IFERROR(__xludf.DUMMYFUNCTION("IF(OR(A516="""",F516=""""),"""",TEXT(WORKDAY(DATE(VALUE(LEFT(TO_TEXT(A516),4)),VALUE(MID(TO_TEXT(A516),5,2)),VALUE(RIGHT(TO_TEXT(A516),2))),F516),""yyyymmdd""))"),"")</f>
        <v/>
      </c>
      <c r="H516" s="34" t="str">
        <f t="shared" si="1"/>
        <v/>
      </c>
      <c r="I516" s="35"/>
      <c r="J516" s="35"/>
      <c r="K516" s="35"/>
    </row>
    <row r="517">
      <c r="A517" s="33"/>
      <c r="G517" s="33" t="str">
        <f>IFERROR(__xludf.DUMMYFUNCTION("IF(OR(A517="""",F517=""""),"""",TEXT(WORKDAY(DATE(VALUE(LEFT(TO_TEXT(A517),4)),VALUE(MID(TO_TEXT(A517),5,2)),VALUE(RIGHT(TO_TEXT(A517),2))),F517),""yyyymmdd""))"),"")</f>
        <v/>
      </c>
      <c r="H517" s="34" t="str">
        <f t="shared" si="1"/>
        <v/>
      </c>
      <c r="I517" s="35"/>
      <c r="J517" s="35"/>
      <c r="K517" s="35"/>
    </row>
    <row r="518">
      <c r="A518" s="33"/>
      <c r="G518" s="33" t="str">
        <f>IFERROR(__xludf.DUMMYFUNCTION("IF(OR(A518="""",F518=""""),"""",TEXT(WORKDAY(DATE(VALUE(LEFT(TO_TEXT(A518),4)),VALUE(MID(TO_TEXT(A518),5,2)),VALUE(RIGHT(TO_TEXT(A518),2))),F518),""yyyymmdd""))"),"")</f>
        <v/>
      </c>
      <c r="H518" s="34" t="str">
        <f t="shared" si="1"/>
        <v/>
      </c>
      <c r="I518" s="35"/>
      <c r="J518" s="35"/>
      <c r="K518" s="35"/>
    </row>
    <row r="519">
      <c r="A519" s="33"/>
      <c r="G519" s="33" t="str">
        <f>IFERROR(__xludf.DUMMYFUNCTION("IF(OR(A519="""",F519=""""),"""",TEXT(WORKDAY(DATE(VALUE(LEFT(TO_TEXT(A519),4)),VALUE(MID(TO_TEXT(A519),5,2)),VALUE(RIGHT(TO_TEXT(A519),2))),F519),""yyyymmdd""))"),"")</f>
        <v/>
      </c>
      <c r="H519" s="34" t="str">
        <f t="shared" si="1"/>
        <v/>
      </c>
      <c r="I519" s="35"/>
      <c r="J519" s="35"/>
      <c r="K519" s="35"/>
    </row>
    <row r="520">
      <c r="A520" s="33"/>
      <c r="G520" s="33" t="str">
        <f>IFERROR(__xludf.DUMMYFUNCTION("IF(OR(A520="""",F520=""""),"""",TEXT(WORKDAY(DATE(VALUE(LEFT(TO_TEXT(A520),4)),VALUE(MID(TO_TEXT(A520),5,2)),VALUE(RIGHT(TO_TEXT(A520),2))),F520),""yyyymmdd""))"),"")</f>
        <v/>
      </c>
      <c r="H520" s="34" t="str">
        <f t="shared" si="1"/>
        <v/>
      </c>
      <c r="I520" s="35"/>
      <c r="J520" s="35"/>
      <c r="K520" s="35"/>
    </row>
    <row r="521">
      <c r="A521" s="33"/>
      <c r="G521" s="33" t="str">
        <f>IFERROR(__xludf.DUMMYFUNCTION("IF(OR(A521="""",F521=""""),"""",TEXT(WORKDAY(DATE(VALUE(LEFT(TO_TEXT(A521),4)),VALUE(MID(TO_TEXT(A521),5,2)),VALUE(RIGHT(TO_TEXT(A521),2))),F521),""yyyymmdd""))"),"")</f>
        <v/>
      </c>
      <c r="H521" s="34" t="str">
        <f t="shared" si="1"/>
        <v/>
      </c>
      <c r="I521" s="35"/>
      <c r="J521" s="35"/>
      <c r="K521" s="35"/>
    </row>
    <row r="522">
      <c r="A522" s="33"/>
      <c r="G522" s="33" t="str">
        <f>IFERROR(__xludf.DUMMYFUNCTION("IF(OR(A522="""",F522=""""),"""",TEXT(WORKDAY(DATE(VALUE(LEFT(TO_TEXT(A522),4)),VALUE(MID(TO_TEXT(A522),5,2)),VALUE(RIGHT(TO_TEXT(A522),2))),F522),""yyyymmdd""))"),"")</f>
        <v/>
      </c>
      <c r="H522" s="34" t="str">
        <f t="shared" si="1"/>
        <v/>
      </c>
      <c r="I522" s="35"/>
      <c r="J522" s="35"/>
      <c r="K522" s="35"/>
    </row>
    <row r="523">
      <c r="A523" s="33"/>
      <c r="G523" s="33" t="str">
        <f>IFERROR(__xludf.DUMMYFUNCTION("IF(OR(A523="""",F523=""""),"""",TEXT(WORKDAY(DATE(VALUE(LEFT(TO_TEXT(A523),4)),VALUE(MID(TO_TEXT(A523),5,2)),VALUE(RIGHT(TO_TEXT(A523),2))),F523),""yyyymmdd""))"),"")</f>
        <v/>
      </c>
      <c r="H523" s="34" t="str">
        <f t="shared" si="1"/>
        <v/>
      </c>
      <c r="I523" s="35"/>
      <c r="J523" s="35"/>
      <c r="K523" s="35"/>
    </row>
    <row r="524">
      <c r="A524" s="33"/>
      <c r="G524" s="33" t="str">
        <f>IFERROR(__xludf.DUMMYFUNCTION("IF(OR(A524="""",F524=""""),"""",TEXT(WORKDAY(DATE(VALUE(LEFT(TO_TEXT(A524),4)),VALUE(MID(TO_TEXT(A524),5,2)),VALUE(RIGHT(TO_TEXT(A524),2))),F524),""yyyymmdd""))"),"")</f>
        <v/>
      </c>
      <c r="H524" s="34" t="str">
        <f t="shared" si="1"/>
        <v/>
      </c>
      <c r="I524" s="35"/>
      <c r="J524" s="35"/>
      <c r="K524" s="35"/>
    </row>
    <row r="525">
      <c r="A525" s="33"/>
      <c r="G525" s="33" t="str">
        <f>IFERROR(__xludf.DUMMYFUNCTION("IF(OR(A525="""",F525=""""),"""",TEXT(WORKDAY(DATE(VALUE(LEFT(TO_TEXT(A525),4)),VALUE(MID(TO_TEXT(A525),5,2)),VALUE(RIGHT(TO_TEXT(A525),2))),F525),""yyyymmdd""))"),"")</f>
        <v/>
      </c>
      <c r="H525" s="34" t="str">
        <f t="shared" si="1"/>
        <v/>
      </c>
      <c r="I525" s="35"/>
      <c r="J525" s="35"/>
      <c r="K525" s="35"/>
    </row>
    <row r="526">
      <c r="A526" s="33"/>
      <c r="G526" s="33" t="str">
        <f>IFERROR(__xludf.DUMMYFUNCTION("IF(OR(A526="""",F526=""""),"""",TEXT(WORKDAY(DATE(VALUE(LEFT(TO_TEXT(A526),4)),VALUE(MID(TO_TEXT(A526),5,2)),VALUE(RIGHT(TO_TEXT(A526),2))),F526),""yyyymmdd""))"),"")</f>
        <v/>
      </c>
      <c r="H526" s="34" t="str">
        <f t="shared" si="1"/>
        <v/>
      </c>
      <c r="I526" s="35"/>
      <c r="J526" s="35"/>
      <c r="K526" s="35"/>
    </row>
    <row r="527">
      <c r="A527" s="33"/>
      <c r="G527" s="33" t="str">
        <f>IFERROR(__xludf.DUMMYFUNCTION("IF(OR(A527="""",F527=""""),"""",TEXT(WORKDAY(DATE(VALUE(LEFT(TO_TEXT(A527),4)),VALUE(MID(TO_TEXT(A527),5,2)),VALUE(RIGHT(TO_TEXT(A527),2))),F527),""yyyymmdd""))"),"")</f>
        <v/>
      </c>
      <c r="H527" s="34" t="str">
        <f t="shared" si="1"/>
        <v/>
      </c>
      <c r="I527" s="35"/>
      <c r="J527" s="35"/>
      <c r="K527" s="35"/>
    </row>
    <row r="528">
      <c r="A528" s="33"/>
      <c r="G528" s="33" t="str">
        <f>IFERROR(__xludf.DUMMYFUNCTION("IF(OR(A528="""",F528=""""),"""",TEXT(WORKDAY(DATE(VALUE(LEFT(TO_TEXT(A528),4)),VALUE(MID(TO_TEXT(A528),5,2)),VALUE(RIGHT(TO_TEXT(A528),2))),F528),""yyyymmdd""))"),"")</f>
        <v/>
      </c>
      <c r="H528" s="34" t="str">
        <f t="shared" si="1"/>
        <v/>
      </c>
      <c r="I528" s="35"/>
      <c r="J528" s="35"/>
      <c r="K528" s="35"/>
    </row>
    <row r="529">
      <c r="A529" s="33"/>
      <c r="G529" s="33" t="str">
        <f>IFERROR(__xludf.DUMMYFUNCTION("IF(OR(A529="""",F529=""""),"""",TEXT(WORKDAY(DATE(VALUE(LEFT(TO_TEXT(A529),4)),VALUE(MID(TO_TEXT(A529),5,2)),VALUE(RIGHT(TO_TEXT(A529),2))),F529),""yyyymmdd""))"),"")</f>
        <v/>
      </c>
      <c r="H529" s="34" t="str">
        <f t="shared" si="1"/>
        <v/>
      </c>
      <c r="I529" s="35"/>
      <c r="J529" s="35"/>
      <c r="K529" s="35"/>
    </row>
    <row r="530">
      <c r="A530" s="33"/>
      <c r="G530" s="33" t="str">
        <f>IFERROR(__xludf.DUMMYFUNCTION("IF(OR(A530="""",F530=""""),"""",TEXT(WORKDAY(DATE(VALUE(LEFT(TO_TEXT(A530),4)),VALUE(MID(TO_TEXT(A530),5,2)),VALUE(RIGHT(TO_TEXT(A530),2))),F530),""yyyymmdd""))"),"")</f>
        <v/>
      </c>
      <c r="H530" s="34" t="str">
        <f t="shared" si="1"/>
        <v/>
      </c>
      <c r="I530" s="35"/>
      <c r="J530" s="35"/>
      <c r="K530" s="35"/>
    </row>
    <row r="531">
      <c r="A531" s="33"/>
      <c r="G531" s="33" t="str">
        <f>IFERROR(__xludf.DUMMYFUNCTION("IF(OR(A531="""",F531=""""),"""",TEXT(WORKDAY(DATE(VALUE(LEFT(TO_TEXT(A531),4)),VALUE(MID(TO_TEXT(A531),5,2)),VALUE(RIGHT(TO_TEXT(A531),2))),F531),""yyyymmdd""))"),"")</f>
        <v/>
      </c>
      <c r="H531" s="34" t="str">
        <f t="shared" si="1"/>
        <v/>
      </c>
      <c r="I531" s="35"/>
      <c r="J531" s="35"/>
      <c r="K531" s="35"/>
    </row>
    <row r="532">
      <c r="A532" s="33"/>
      <c r="G532" s="33" t="str">
        <f>IFERROR(__xludf.DUMMYFUNCTION("IF(OR(A532="""",F532=""""),"""",TEXT(WORKDAY(DATE(VALUE(LEFT(TO_TEXT(A532),4)),VALUE(MID(TO_TEXT(A532),5,2)),VALUE(RIGHT(TO_TEXT(A532),2))),F532),""yyyymmdd""))"),"")</f>
        <v/>
      </c>
      <c r="H532" s="34" t="str">
        <f t="shared" si="1"/>
        <v/>
      </c>
      <c r="I532" s="35"/>
      <c r="J532" s="35"/>
      <c r="K532" s="35"/>
    </row>
    <row r="533">
      <c r="A533" s="33"/>
      <c r="G533" s="33" t="str">
        <f>IFERROR(__xludf.DUMMYFUNCTION("IF(OR(A533="""",F533=""""),"""",TEXT(WORKDAY(DATE(VALUE(LEFT(TO_TEXT(A533),4)),VALUE(MID(TO_TEXT(A533),5,2)),VALUE(RIGHT(TO_TEXT(A533),2))),F533),""yyyymmdd""))"),"")</f>
        <v/>
      </c>
      <c r="H533" s="34" t="str">
        <f t="shared" si="1"/>
        <v/>
      </c>
      <c r="I533" s="35"/>
      <c r="J533" s="35"/>
      <c r="K533" s="35"/>
    </row>
    <row r="534">
      <c r="A534" s="33"/>
      <c r="G534" s="33" t="str">
        <f>IFERROR(__xludf.DUMMYFUNCTION("IF(OR(A534="""",F534=""""),"""",TEXT(WORKDAY(DATE(VALUE(LEFT(TO_TEXT(A534),4)),VALUE(MID(TO_TEXT(A534),5,2)),VALUE(RIGHT(TO_TEXT(A534),2))),F534),""yyyymmdd""))"),"")</f>
        <v/>
      </c>
      <c r="H534" s="34" t="str">
        <f t="shared" si="1"/>
        <v/>
      </c>
      <c r="I534" s="35"/>
      <c r="J534" s="35"/>
      <c r="K534" s="35"/>
    </row>
    <row r="535">
      <c r="A535" s="33"/>
      <c r="G535" s="33" t="str">
        <f>IFERROR(__xludf.DUMMYFUNCTION("IF(OR(A535="""",F535=""""),"""",TEXT(WORKDAY(DATE(VALUE(LEFT(TO_TEXT(A535),4)),VALUE(MID(TO_TEXT(A535),5,2)),VALUE(RIGHT(TO_TEXT(A535),2))),F535),""yyyymmdd""))"),"")</f>
        <v/>
      </c>
      <c r="H535" s="34" t="str">
        <f t="shared" si="1"/>
        <v/>
      </c>
      <c r="I535" s="35"/>
      <c r="J535" s="35"/>
      <c r="K535" s="35"/>
    </row>
    <row r="536">
      <c r="A536" s="33"/>
      <c r="G536" s="33" t="str">
        <f>IFERROR(__xludf.DUMMYFUNCTION("IF(OR(A536="""",F536=""""),"""",TEXT(WORKDAY(DATE(VALUE(LEFT(TO_TEXT(A536),4)),VALUE(MID(TO_TEXT(A536),5,2)),VALUE(RIGHT(TO_TEXT(A536),2))),F536),""yyyymmdd""))"),"")</f>
        <v/>
      </c>
      <c r="H536" s="34" t="str">
        <f t="shared" si="1"/>
        <v/>
      </c>
      <c r="I536" s="35"/>
      <c r="J536" s="35"/>
      <c r="K536" s="35"/>
    </row>
    <row r="537">
      <c r="A537" s="33"/>
      <c r="G537" s="33" t="str">
        <f>IFERROR(__xludf.DUMMYFUNCTION("IF(OR(A537="""",F537=""""),"""",TEXT(WORKDAY(DATE(VALUE(LEFT(TO_TEXT(A537),4)),VALUE(MID(TO_TEXT(A537),5,2)),VALUE(RIGHT(TO_TEXT(A537),2))),F537),""yyyymmdd""))"),"")</f>
        <v/>
      </c>
      <c r="H537" s="34" t="str">
        <f t="shared" si="1"/>
        <v/>
      </c>
      <c r="I537" s="35"/>
      <c r="J537" s="35"/>
      <c r="K537" s="35"/>
    </row>
    <row r="538">
      <c r="A538" s="33"/>
      <c r="G538" s="33" t="str">
        <f>IFERROR(__xludf.DUMMYFUNCTION("IF(OR(A538="""",F538=""""),"""",TEXT(WORKDAY(DATE(VALUE(LEFT(TO_TEXT(A538),4)),VALUE(MID(TO_TEXT(A538),5,2)),VALUE(RIGHT(TO_TEXT(A538),2))),F538),""yyyymmdd""))"),"")</f>
        <v/>
      </c>
      <c r="H538" s="34" t="str">
        <f t="shared" si="1"/>
        <v/>
      </c>
      <c r="I538" s="35"/>
      <c r="J538" s="35"/>
      <c r="K538" s="35"/>
    </row>
    <row r="539">
      <c r="A539" s="33"/>
      <c r="G539" s="33" t="str">
        <f>IFERROR(__xludf.DUMMYFUNCTION("IF(OR(A539="""",F539=""""),"""",TEXT(WORKDAY(DATE(VALUE(LEFT(TO_TEXT(A539),4)),VALUE(MID(TO_TEXT(A539),5,2)),VALUE(RIGHT(TO_TEXT(A539),2))),F539),""yyyymmdd""))"),"")</f>
        <v/>
      </c>
      <c r="H539" s="34" t="str">
        <f t="shared" si="1"/>
        <v/>
      </c>
      <c r="I539" s="35"/>
      <c r="J539" s="35"/>
      <c r="K539" s="35"/>
    </row>
    <row r="540">
      <c r="A540" s="33"/>
      <c r="G540" s="33" t="str">
        <f>IFERROR(__xludf.DUMMYFUNCTION("IF(OR(A540="""",F540=""""),"""",TEXT(WORKDAY(DATE(VALUE(LEFT(TO_TEXT(A540),4)),VALUE(MID(TO_TEXT(A540),5,2)),VALUE(RIGHT(TO_TEXT(A540),2))),F540),""yyyymmdd""))"),"")</f>
        <v/>
      </c>
      <c r="H540" s="34" t="str">
        <f t="shared" si="1"/>
        <v/>
      </c>
      <c r="I540" s="35"/>
      <c r="J540" s="35"/>
      <c r="K540" s="35"/>
    </row>
    <row r="541">
      <c r="A541" s="33"/>
      <c r="G541" s="33" t="str">
        <f>IFERROR(__xludf.DUMMYFUNCTION("IF(OR(A541="""",F541=""""),"""",TEXT(WORKDAY(DATE(VALUE(LEFT(TO_TEXT(A541),4)),VALUE(MID(TO_TEXT(A541),5,2)),VALUE(RIGHT(TO_TEXT(A541),2))),F541),""yyyymmdd""))"),"")</f>
        <v/>
      </c>
      <c r="H541" s="34" t="str">
        <f t="shared" si="1"/>
        <v/>
      </c>
      <c r="I541" s="35"/>
      <c r="J541" s="35"/>
      <c r="K541" s="35"/>
    </row>
    <row r="542">
      <c r="A542" s="33"/>
      <c r="G542" s="33" t="str">
        <f>IFERROR(__xludf.DUMMYFUNCTION("IF(OR(A542="""",F542=""""),"""",TEXT(WORKDAY(DATE(VALUE(LEFT(TO_TEXT(A542),4)),VALUE(MID(TO_TEXT(A542),5,2)),VALUE(RIGHT(TO_TEXT(A542),2))),F542),""yyyymmdd""))"),"")</f>
        <v/>
      </c>
      <c r="H542" s="34" t="str">
        <f t="shared" si="1"/>
        <v/>
      </c>
      <c r="I542" s="35"/>
      <c r="J542" s="35"/>
      <c r="K542" s="35"/>
    </row>
    <row r="543">
      <c r="A543" s="33"/>
      <c r="G543" s="33" t="str">
        <f>IFERROR(__xludf.DUMMYFUNCTION("IF(OR(A543="""",F543=""""),"""",TEXT(WORKDAY(DATE(VALUE(LEFT(TO_TEXT(A543),4)),VALUE(MID(TO_TEXT(A543),5,2)),VALUE(RIGHT(TO_TEXT(A543),2))),F543),""yyyymmdd""))"),"")</f>
        <v/>
      </c>
      <c r="H543" s="34" t="str">
        <f t="shared" si="1"/>
        <v/>
      </c>
      <c r="I543" s="35"/>
      <c r="J543" s="35"/>
      <c r="K543" s="35"/>
    </row>
    <row r="544">
      <c r="A544" s="33"/>
      <c r="G544" s="33" t="str">
        <f>IFERROR(__xludf.DUMMYFUNCTION("IF(OR(A544="""",F544=""""),"""",TEXT(WORKDAY(DATE(VALUE(LEFT(TO_TEXT(A544),4)),VALUE(MID(TO_TEXT(A544),5,2)),VALUE(RIGHT(TO_TEXT(A544),2))),F544),""yyyymmdd""))"),"")</f>
        <v/>
      </c>
      <c r="H544" s="34" t="str">
        <f t="shared" si="1"/>
        <v/>
      </c>
      <c r="I544" s="35"/>
      <c r="J544" s="35"/>
      <c r="K544" s="35"/>
    </row>
    <row r="545">
      <c r="A545" s="33"/>
      <c r="G545" s="33" t="str">
        <f>IFERROR(__xludf.DUMMYFUNCTION("IF(OR(A545="""",F545=""""),"""",TEXT(WORKDAY(DATE(VALUE(LEFT(TO_TEXT(A545),4)),VALUE(MID(TO_TEXT(A545),5,2)),VALUE(RIGHT(TO_TEXT(A545),2))),F545),""yyyymmdd""))"),"")</f>
        <v/>
      </c>
      <c r="H545" s="34" t="str">
        <f t="shared" si="1"/>
        <v/>
      </c>
      <c r="I545" s="35"/>
      <c r="J545" s="35"/>
      <c r="K545" s="35"/>
    </row>
    <row r="546">
      <c r="A546" s="33"/>
      <c r="G546" s="33" t="str">
        <f>IFERROR(__xludf.DUMMYFUNCTION("IF(OR(A546="""",F546=""""),"""",TEXT(WORKDAY(DATE(VALUE(LEFT(TO_TEXT(A546),4)),VALUE(MID(TO_TEXT(A546),5,2)),VALUE(RIGHT(TO_TEXT(A546),2))),F546),""yyyymmdd""))"),"")</f>
        <v/>
      </c>
      <c r="H546" s="34" t="str">
        <f t="shared" si="1"/>
        <v/>
      </c>
      <c r="I546" s="35"/>
      <c r="J546" s="35"/>
      <c r="K546" s="35"/>
    </row>
    <row r="547">
      <c r="A547" s="33"/>
      <c r="G547" s="33" t="str">
        <f>IFERROR(__xludf.DUMMYFUNCTION("IF(OR(A547="""",F547=""""),"""",TEXT(WORKDAY(DATE(VALUE(LEFT(TO_TEXT(A547),4)),VALUE(MID(TO_TEXT(A547),5,2)),VALUE(RIGHT(TO_TEXT(A547),2))),F547),""yyyymmdd""))"),"")</f>
        <v/>
      </c>
      <c r="H547" s="34" t="str">
        <f t="shared" si="1"/>
        <v/>
      </c>
      <c r="I547" s="35"/>
      <c r="J547" s="35"/>
      <c r="K547" s="35"/>
    </row>
    <row r="548">
      <c r="A548" s="33"/>
      <c r="G548" s="33" t="str">
        <f>IFERROR(__xludf.DUMMYFUNCTION("IF(OR(A548="""",F548=""""),"""",TEXT(WORKDAY(DATE(VALUE(LEFT(TO_TEXT(A548),4)),VALUE(MID(TO_TEXT(A548),5,2)),VALUE(RIGHT(TO_TEXT(A548),2))),F548),""yyyymmdd""))"),"")</f>
        <v/>
      </c>
      <c r="H548" s="34" t="str">
        <f t="shared" si="1"/>
        <v/>
      </c>
      <c r="I548" s="35"/>
      <c r="J548" s="35"/>
      <c r="K548" s="35"/>
    </row>
    <row r="549">
      <c r="A549" s="33"/>
      <c r="G549" s="33" t="str">
        <f>IFERROR(__xludf.DUMMYFUNCTION("IF(OR(A549="""",F549=""""),"""",TEXT(WORKDAY(DATE(VALUE(LEFT(TO_TEXT(A549),4)),VALUE(MID(TO_TEXT(A549),5,2)),VALUE(RIGHT(TO_TEXT(A549),2))),F549),""yyyymmdd""))"),"")</f>
        <v/>
      </c>
      <c r="H549" s="34" t="str">
        <f t="shared" si="1"/>
        <v/>
      </c>
      <c r="I549" s="35"/>
      <c r="J549" s="35"/>
      <c r="K549" s="35"/>
    </row>
    <row r="550">
      <c r="A550" s="33"/>
      <c r="G550" s="33" t="str">
        <f>IFERROR(__xludf.DUMMYFUNCTION("IF(OR(A550="""",F550=""""),"""",TEXT(WORKDAY(DATE(VALUE(LEFT(TO_TEXT(A550),4)),VALUE(MID(TO_TEXT(A550),5,2)),VALUE(RIGHT(TO_TEXT(A550),2))),F550),""yyyymmdd""))"),"")</f>
        <v/>
      </c>
      <c r="H550" s="34" t="str">
        <f t="shared" si="1"/>
        <v/>
      </c>
      <c r="I550" s="35"/>
      <c r="J550" s="35"/>
      <c r="K550" s="35"/>
    </row>
    <row r="551">
      <c r="A551" s="33"/>
      <c r="G551" s="33" t="str">
        <f>IFERROR(__xludf.DUMMYFUNCTION("IF(OR(A551="""",F551=""""),"""",TEXT(WORKDAY(DATE(VALUE(LEFT(TO_TEXT(A551),4)),VALUE(MID(TO_TEXT(A551),5,2)),VALUE(RIGHT(TO_TEXT(A551),2))),F551),""yyyymmdd""))"),"")</f>
        <v/>
      </c>
      <c r="H551" s="34" t="str">
        <f t="shared" si="1"/>
        <v/>
      </c>
      <c r="I551" s="35"/>
      <c r="J551" s="35"/>
      <c r="K551" s="35"/>
    </row>
    <row r="552">
      <c r="A552" s="33"/>
      <c r="G552" s="33" t="str">
        <f>IFERROR(__xludf.DUMMYFUNCTION("IF(OR(A552="""",F552=""""),"""",TEXT(WORKDAY(DATE(VALUE(LEFT(TO_TEXT(A552),4)),VALUE(MID(TO_TEXT(A552),5,2)),VALUE(RIGHT(TO_TEXT(A552),2))),F552),""yyyymmdd""))"),"")</f>
        <v/>
      </c>
      <c r="H552" s="34" t="str">
        <f t="shared" si="1"/>
        <v/>
      </c>
      <c r="I552" s="35"/>
      <c r="J552" s="35"/>
      <c r="K552" s="35"/>
    </row>
    <row r="553">
      <c r="A553" s="33"/>
      <c r="G553" s="33" t="str">
        <f>IFERROR(__xludf.DUMMYFUNCTION("IF(OR(A553="""",F553=""""),"""",TEXT(WORKDAY(DATE(VALUE(LEFT(TO_TEXT(A553),4)),VALUE(MID(TO_TEXT(A553),5,2)),VALUE(RIGHT(TO_TEXT(A553),2))),F553),""yyyymmdd""))"),"")</f>
        <v/>
      </c>
      <c r="H553" s="34" t="str">
        <f t="shared" si="1"/>
        <v/>
      </c>
      <c r="I553" s="35"/>
      <c r="J553" s="35"/>
      <c r="K553" s="35"/>
    </row>
    <row r="554">
      <c r="A554" s="33"/>
      <c r="G554" s="33" t="str">
        <f>IFERROR(__xludf.DUMMYFUNCTION("IF(OR(A554="""",F554=""""),"""",TEXT(WORKDAY(DATE(VALUE(LEFT(TO_TEXT(A554),4)),VALUE(MID(TO_TEXT(A554),5,2)),VALUE(RIGHT(TO_TEXT(A554),2))),F554),""yyyymmdd""))"),"")</f>
        <v/>
      </c>
      <c r="H554" s="34" t="str">
        <f t="shared" si="1"/>
        <v/>
      </c>
      <c r="I554" s="35"/>
      <c r="J554" s="35"/>
      <c r="K554" s="35"/>
    </row>
    <row r="555">
      <c r="A555" s="33"/>
      <c r="G555" s="33" t="str">
        <f>IFERROR(__xludf.DUMMYFUNCTION("IF(OR(A555="""",F555=""""),"""",TEXT(WORKDAY(DATE(VALUE(LEFT(TO_TEXT(A555),4)),VALUE(MID(TO_TEXT(A555),5,2)),VALUE(RIGHT(TO_TEXT(A555),2))),F555),""yyyymmdd""))"),"")</f>
        <v/>
      </c>
      <c r="H555" s="34" t="str">
        <f t="shared" si="1"/>
        <v/>
      </c>
      <c r="I555" s="35"/>
      <c r="J555" s="35"/>
      <c r="K555" s="35"/>
    </row>
    <row r="556">
      <c r="A556" s="33"/>
      <c r="G556" s="33" t="str">
        <f>IFERROR(__xludf.DUMMYFUNCTION("IF(OR(A556="""",F556=""""),"""",TEXT(WORKDAY(DATE(VALUE(LEFT(TO_TEXT(A556),4)),VALUE(MID(TO_TEXT(A556),5,2)),VALUE(RIGHT(TO_TEXT(A556),2))),F556),""yyyymmdd""))"),"")</f>
        <v/>
      </c>
      <c r="H556" s="34" t="str">
        <f t="shared" si="1"/>
        <v/>
      </c>
      <c r="I556" s="35"/>
      <c r="J556" s="35"/>
      <c r="K556" s="35"/>
    </row>
    <row r="557">
      <c r="A557" s="33"/>
      <c r="G557" s="33" t="str">
        <f>IFERROR(__xludf.DUMMYFUNCTION("IF(OR(A557="""",F557=""""),"""",TEXT(WORKDAY(DATE(VALUE(LEFT(TO_TEXT(A557),4)),VALUE(MID(TO_TEXT(A557),5,2)),VALUE(RIGHT(TO_TEXT(A557),2))),F557),""yyyymmdd""))"),"")</f>
        <v/>
      </c>
      <c r="H557" s="34" t="str">
        <f t="shared" si="1"/>
        <v/>
      </c>
      <c r="I557" s="35"/>
      <c r="J557" s="35"/>
      <c r="K557" s="35"/>
    </row>
    <row r="558">
      <c r="A558" s="33"/>
      <c r="G558" s="33" t="str">
        <f>IFERROR(__xludf.DUMMYFUNCTION("IF(OR(A558="""",F558=""""),"""",TEXT(WORKDAY(DATE(VALUE(LEFT(TO_TEXT(A558),4)),VALUE(MID(TO_TEXT(A558),5,2)),VALUE(RIGHT(TO_TEXT(A558),2))),F558),""yyyymmdd""))"),"")</f>
        <v/>
      </c>
      <c r="H558" s="34" t="str">
        <f t="shared" si="1"/>
        <v/>
      </c>
      <c r="I558" s="35"/>
      <c r="J558" s="35"/>
      <c r="K558" s="35"/>
    </row>
    <row r="559">
      <c r="A559" s="33"/>
      <c r="G559" s="33" t="str">
        <f>IFERROR(__xludf.DUMMYFUNCTION("IF(OR(A559="""",F559=""""),"""",TEXT(WORKDAY(DATE(VALUE(LEFT(TO_TEXT(A559),4)),VALUE(MID(TO_TEXT(A559),5,2)),VALUE(RIGHT(TO_TEXT(A559),2))),F559),""yyyymmdd""))"),"")</f>
        <v/>
      </c>
      <c r="H559" s="34" t="str">
        <f t="shared" si="1"/>
        <v/>
      </c>
      <c r="I559" s="35"/>
      <c r="J559" s="35"/>
      <c r="K559" s="35"/>
    </row>
    <row r="560">
      <c r="A560" s="33"/>
      <c r="G560" s="33" t="str">
        <f>IFERROR(__xludf.DUMMYFUNCTION("IF(OR(A560="""",F560=""""),"""",TEXT(WORKDAY(DATE(VALUE(LEFT(TO_TEXT(A560),4)),VALUE(MID(TO_TEXT(A560),5,2)),VALUE(RIGHT(TO_TEXT(A560),2))),F560),""yyyymmdd""))"),"")</f>
        <v/>
      </c>
      <c r="H560" s="34" t="str">
        <f t="shared" si="1"/>
        <v/>
      </c>
      <c r="I560" s="35"/>
      <c r="J560" s="35"/>
      <c r="K560" s="35"/>
    </row>
    <row r="561">
      <c r="A561" s="33"/>
      <c r="G561" s="33" t="str">
        <f>IFERROR(__xludf.DUMMYFUNCTION("IF(OR(A561="""",F561=""""),"""",TEXT(WORKDAY(DATE(VALUE(LEFT(TO_TEXT(A561),4)),VALUE(MID(TO_TEXT(A561),5,2)),VALUE(RIGHT(TO_TEXT(A561),2))),F561),""yyyymmdd""))"),"")</f>
        <v/>
      </c>
      <c r="H561" s="34" t="str">
        <f t="shared" si="1"/>
        <v/>
      </c>
      <c r="I561" s="35"/>
      <c r="J561" s="35"/>
      <c r="K561" s="35"/>
    </row>
    <row r="562">
      <c r="A562" s="33"/>
      <c r="G562" s="33" t="str">
        <f>IFERROR(__xludf.DUMMYFUNCTION("IF(OR(A562="""",F562=""""),"""",TEXT(WORKDAY(DATE(VALUE(LEFT(TO_TEXT(A562),4)),VALUE(MID(TO_TEXT(A562),5,2)),VALUE(RIGHT(TO_TEXT(A562),2))),F562),""yyyymmdd""))"),"")</f>
        <v/>
      </c>
      <c r="H562" s="34" t="str">
        <f t="shared" si="1"/>
        <v/>
      </c>
      <c r="I562" s="35"/>
      <c r="J562" s="35"/>
      <c r="K562" s="35"/>
    </row>
    <row r="563">
      <c r="A563" s="33"/>
      <c r="G563" s="33" t="str">
        <f>IFERROR(__xludf.DUMMYFUNCTION("IF(OR(A563="""",F563=""""),"""",TEXT(WORKDAY(DATE(VALUE(LEFT(TO_TEXT(A563),4)),VALUE(MID(TO_TEXT(A563),5,2)),VALUE(RIGHT(TO_TEXT(A563),2))),F563),""yyyymmdd""))"),"")</f>
        <v/>
      </c>
      <c r="H563" s="34" t="str">
        <f t="shared" si="1"/>
        <v/>
      </c>
      <c r="I563" s="35"/>
      <c r="J563" s="35"/>
      <c r="K563" s="35"/>
    </row>
    <row r="564">
      <c r="A564" s="33"/>
      <c r="G564" s="33" t="str">
        <f>IFERROR(__xludf.DUMMYFUNCTION("IF(OR(A564="""",F564=""""),"""",TEXT(WORKDAY(DATE(VALUE(LEFT(TO_TEXT(A564),4)),VALUE(MID(TO_TEXT(A564),5,2)),VALUE(RIGHT(TO_TEXT(A564),2))),F564),""yyyymmdd""))"),"")</f>
        <v/>
      </c>
      <c r="H564" s="34" t="str">
        <f t="shared" si="1"/>
        <v/>
      </c>
      <c r="I564" s="35"/>
      <c r="J564" s="35"/>
      <c r="K564" s="35"/>
    </row>
    <row r="565">
      <c r="A565" s="33"/>
      <c r="G565" s="33" t="str">
        <f>IFERROR(__xludf.DUMMYFUNCTION("IF(OR(A565="""",F565=""""),"""",TEXT(WORKDAY(DATE(VALUE(LEFT(TO_TEXT(A565),4)),VALUE(MID(TO_TEXT(A565),5,2)),VALUE(RIGHT(TO_TEXT(A565),2))),F565),""yyyymmdd""))"),"")</f>
        <v/>
      </c>
      <c r="H565" s="34" t="str">
        <f t="shared" si="1"/>
        <v/>
      </c>
      <c r="I565" s="35"/>
      <c r="J565" s="35"/>
      <c r="K565" s="35"/>
    </row>
    <row r="566">
      <c r="A566" s="33"/>
      <c r="G566" s="33" t="str">
        <f>IFERROR(__xludf.DUMMYFUNCTION("IF(OR(A566="""",F566=""""),"""",TEXT(WORKDAY(DATE(VALUE(LEFT(TO_TEXT(A566),4)),VALUE(MID(TO_TEXT(A566),5,2)),VALUE(RIGHT(TO_TEXT(A566),2))),F566),""yyyymmdd""))"),"")</f>
        <v/>
      </c>
      <c r="H566" s="34" t="str">
        <f t="shared" si="1"/>
        <v/>
      </c>
      <c r="I566" s="35"/>
      <c r="J566" s="35"/>
      <c r="K566" s="35"/>
    </row>
    <row r="567">
      <c r="A567" s="33"/>
      <c r="G567" s="33" t="str">
        <f>IFERROR(__xludf.DUMMYFUNCTION("IF(OR(A567="""",F567=""""),"""",TEXT(WORKDAY(DATE(VALUE(LEFT(TO_TEXT(A567),4)),VALUE(MID(TO_TEXT(A567),5,2)),VALUE(RIGHT(TO_TEXT(A567),2))),F567),""yyyymmdd""))"),"")</f>
        <v/>
      </c>
      <c r="H567" s="34" t="str">
        <f t="shared" si="1"/>
        <v/>
      </c>
      <c r="I567" s="35"/>
      <c r="J567" s="35"/>
      <c r="K567" s="35"/>
    </row>
    <row r="568">
      <c r="A568" s="33"/>
      <c r="G568" s="33" t="str">
        <f>IFERROR(__xludf.DUMMYFUNCTION("IF(OR(A568="""",F568=""""),"""",TEXT(WORKDAY(DATE(VALUE(LEFT(TO_TEXT(A568),4)),VALUE(MID(TO_TEXT(A568),5,2)),VALUE(RIGHT(TO_TEXT(A568),2))),F568),""yyyymmdd""))"),"")</f>
        <v/>
      </c>
      <c r="H568" s="34" t="str">
        <f t="shared" si="1"/>
        <v/>
      </c>
      <c r="I568" s="35"/>
      <c r="J568" s="35"/>
      <c r="K568" s="35"/>
    </row>
    <row r="569">
      <c r="A569" s="33"/>
      <c r="G569" s="33" t="str">
        <f>IFERROR(__xludf.DUMMYFUNCTION("IF(OR(A569="""",F569=""""),"""",TEXT(WORKDAY(DATE(VALUE(LEFT(TO_TEXT(A569),4)),VALUE(MID(TO_TEXT(A569),5,2)),VALUE(RIGHT(TO_TEXT(A569),2))),F569),""yyyymmdd""))"),"")</f>
        <v/>
      </c>
      <c r="H569" s="34" t="str">
        <f t="shared" si="1"/>
        <v/>
      </c>
      <c r="I569" s="35"/>
      <c r="J569" s="35"/>
      <c r="K569" s="35"/>
    </row>
    <row r="570">
      <c r="A570" s="33"/>
      <c r="G570" s="33" t="str">
        <f>IFERROR(__xludf.DUMMYFUNCTION("IF(OR(A570="""",F570=""""),"""",TEXT(WORKDAY(DATE(VALUE(LEFT(TO_TEXT(A570),4)),VALUE(MID(TO_TEXT(A570),5,2)),VALUE(RIGHT(TO_TEXT(A570),2))),F570),""yyyymmdd""))"),"")</f>
        <v/>
      </c>
      <c r="H570" s="34" t="str">
        <f t="shared" si="1"/>
        <v/>
      </c>
      <c r="I570" s="35"/>
      <c r="J570" s="35"/>
      <c r="K570" s="35"/>
    </row>
    <row r="571">
      <c r="A571" s="33"/>
      <c r="G571" s="33" t="str">
        <f>IFERROR(__xludf.DUMMYFUNCTION("IF(OR(A571="""",F571=""""),"""",TEXT(WORKDAY(DATE(VALUE(LEFT(TO_TEXT(A571),4)),VALUE(MID(TO_TEXT(A571),5,2)),VALUE(RIGHT(TO_TEXT(A571),2))),F571),""yyyymmdd""))"),"")</f>
        <v/>
      </c>
      <c r="H571" s="34" t="str">
        <f t="shared" si="1"/>
        <v/>
      </c>
      <c r="I571" s="35"/>
      <c r="J571" s="35"/>
      <c r="K571" s="35"/>
    </row>
    <row r="572">
      <c r="A572" s="33"/>
      <c r="G572" s="33" t="str">
        <f>IFERROR(__xludf.DUMMYFUNCTION("IF(OR(A572="""",F572=""""),"""",TEXT(WORKDAY(DATE(VALUE(LEFT(TO_TEXT(A572),4)),VALUE(MID(TO_TEXT(A572),5,2)),VALUE(RIGHT(TO_TEXT(A572),2))),F572),""yyyymmdd""))"),"")</f>
        <v/>
      </c>
      <c r="H572" s="34" t="str">
        <f t="shared" si="1"/>
        <v/>
      </c>
      <c r="I572" s="35"/>
      <c r="J572" s="35"/>
      <c r="K572" s="35"/>
    </row>
    <row r="573">
      <c r="A573" s="33"/>
      <c r="G573" s="33" t="str">
        <f>IFERROR(__xludf.DUMMYFUNCTION("IF(OR(A573="""",F573=""""),"""",TEXT(WORKDAY(DATE(VALUE(LEFT(TO_TEXT(A573),4)),VALUE(MID(TO_TEXT(A573),5,2)),VALUE(RIGHT(TO_TEXT(A573),2))),F573),""yyyymmdd""))"),"")</f>
        <v/>
      </c>
      <c r="H573" s="34" t="str">
        <f t="shared" si="1"/>
        <v/>
      </c>
      <c r="I573" s="35"/>
      <c r="J573" s="35"/>
      <c r="K573" s="35"/>
    </row>
    <row r="574">
      <c r="A574" s="33"/>
      <c r="G574" s="33" t="str">
        <f>IFERROR(__xludf.DUMMYFUNCTION("IF(OR(A574="""",F574=""""),"""",TEXT(WORKDAY(DATE(VALUE(LEFT(TO_TEXT(A574),4)),VALUE(MID(TO_TEXT(A574),5,2)),VALUE(RIGHT(TO_TEXT(A574),2))),F574),""yyyymmdd""))"),"")</f>
        <v/>
      </c>
      <c r="H574" s="34" t="str">
        <f t="shared" si="1"/>
        <v/>
      </c>
      <c r="I574" s="35"/>
      <c r="J574" s="35"/>
      <c r="K574" s="35"/>
    </row>
    <row r="575">
      <c r="A575" s="33"/>
      <c r="G575" s="33" t="str">
        <f>IFERROR(__xludf.DUMMYFUNCTION("IF(OR(A575="""",F575=""""),"""",TEXT(WORKDAY(DATE(VALUE(LEFT(TO_TEXT(A575),4)),VALUE(MID(TO_TEXT(A575),5,2)),VALUE(RIGHT(TO_TEXT(A575),2))),F575),""yyyymmdd""))"),"")</f>
        <v/>
      </c>
      <c r="H575" s="34" t="str">
        <f t="shared" si="1"/>
        <v/>
      </c>
      <c r="I575" s="35"/>
      <c r="J575" s="35"/>
      <c r="K575" s="35"/>
    </row>
    <row r="576">
      <c r="A576" s="33"/>
      <c r="G576" s="33" t="str">
        <f>IFERROR(__xludf.DUMMYFUNCTION("IF(OR(A576="""",F576=""""),"""",TEXT(WORKDAY(DATE(VALUE(LEFT(TO_TEXT(A576),4)),VALUE(MID(TO_TEXT(A576),5,2)),VALUE(RIGHT(TO_TEXT(A576),2))),F576),""yyyymmdd""))"),"")</f>
        <v/>
      </c>
      <c r="H576" s="34" t="str">
        <f t="shared" si="1"/>
        <v/>
      </c>
      <c r="I576" s="35"/>
      <c r="J576" s="35"/>
      <c r="K576" s="35"/>
    </row>
    <row r="577">
      <c r="A577" s="33"/>
      <c r="G577" s="33" t="str">
        <f>IFERROR(__xludf.DUMMYFUNCTION("IF(OR(A577="""",F577=""""),"""",TEXT(WORKDAY(DATE(VALUE(LEFT(TO_TEXT(A577),4)),VALUE(MID(TO_TEXT(A577),5,2)),VALUE(RIGHT(TO_TEXT(A577),2))),F577),""yyyymmdd""))"),"")</f>
        <v/>
      </c>
      <c r="H577" s="34" t="str">
        <f t="shared" si="1"/>
        <v/>
      </c>
      <c r="I577" s="35"/>
      <c r="J577" s="35"/>
      <c r="K577" s="35"/>
    </row>
    <row r="578">
      <c r="A578" s="33"/>
      <c r="G578" s="33" t="str">
        <f>IFERROR(__xludf.DUMMYFUNCTION("IF(OR(A578="""",F578=""""),"""",TEXT(WORKDAY(DATE(VALUE(LEFT(TO_TEXT(A578),4)),VALUE(MID(TO_TEXT(A578),5,2)),VALUE(RIGHT(TO_TEXT(A578),2))),F578),""yyyymmdd""))"),"")</f>
        <v/>
      </c>
      <c r="H578" s="34" t="str">
        <f t="shared" si="1"/>
        <v/>
      </c>
      <c r="I578" s="35"/>
      <c r="J578" s="35"/>
      <c r="K578" s="35"/>
    </row>
    <row r="579">
      <c r="A579" s="33"/>
      <c r="G579" s="33" t="str">
        <f>IFERROR(__xludf.DUMMYFUNCTION("IF(OR(A579="""",F579=""""),"""",TEXT(WORKDAY(DATE(VALUE(LEFT(TO_TEXT(A579),4)),VALUE(MID(TO_TEXT(A579),5,2)),VALUE(RIGHT(TO_TEXT(A579),2))),F579),""yyyymmdd""))"),"")</f>
        <v/>
      </c>
      <c r="H579" s="34" t="str">
        <f t="shared" si="1"/>
        <v/>
      </c>
      <c r="I579" s="35"/>
      <c r="J579" s="35"/>
      <c r="K579" s="35"/>
    </row>
    <row r="580">
      <c r="A580" s="33"/>
      <c r="G580" s="33" t="str">
        <f>IFERROR(__xludf.DUMMYFUNCTION("IF(OR(A580="""",F580=""""),"""",TEXT(WORKDAY(DATE(VALUE(LEFT(TO_TEXT(A580),4)),VALUE(MID(TO_TEXT(A580),5,2)),VALUE(RIGHT(TO_TEXT(A580),2))),F580),""yyyymmdd""))"),"")</f>
        <v/>
      </c>
      <c r="H580" s="34" t="str">
        <f t="shared" si="1"/>
        <v/>
      </c>
      <c r="I580" s="35"/>
      <c r="J580" s="35"/>
      <c r="K580" s="35"/>
    </row>
    <row r="581">
      <c r="A581" s="33"/>
      <c r="G581" s="33" t="str">
        <f>IFERROR(__xludf.DUMMYFUNCTION("IF(OR(A581="""",F581=""""),"""",TEXT(WORKDAY(DATE(VALUE(LEFT(TO_TEXT(A581),4)),VALUE(MID(TO_TEXT(A581),5,2)),VALUE(RIGHT(TO_TEXT(A581),2))),F581),""yyyymmdd""))"),"")</f>
        <v/>
      </c>
      <c r="H581" s="34" t="str">
        <f t="shared" si="1"/>
        <v/>
      </c>
      <c r="I581" s="35"/>
      <c r="J581" s="35"/>
      <c r="K581" s="35"/>
    </row>
    <row r="582">
      <c r="A582" s="33"/>
      <c r="G582" s="33" t="str">
        <f>IFERROR(__xludf.DUMMYFUNCTION("IF(OR(A582="""",F582=""""),"""",TEXT(WORKDAY(DATE(VALUE(LEFT(TO_TEXT(A582),4)),VALUE(MID(TO_TEXT(A582),5,2)),VALUE(RIGHT(TO_TEXT(A582),2))),F582),""yyyymmdd""))"),"")</f>
        <v/>
      </c>
      <c r="H582" s="34" t="str">
        <f t="shared" si="1"/>
        <v/>
      </c>
      <c r="I582" s="35"/>
      <c r="J582" s="35"/>
      <c r="K582" s="35"/>
    </row>
    <row r="583">
      <c r="A583" s="33"/>
      <c r="G583" s="33" t="str">
        <f>IFERROR(__xludf.DUMMYFUNCTION("IF(OR(A583="""",F583=""""),"""",TEXT(WORKDAY(DATE(VALUE(LEFT(TO_TEXT(A583),4)),VALUE(MID(TO_TEXT(A583),5,2)),VALUE(RIGHT(TO_TEXT(A583),2))),F583),""yyyymmdd""))"),"")</f>
        <v/>
      </c>
      <c r="H583" s="34" t="str">
        <f t="shared" si="1"/>
        <v/>
      </c>
      <c r="I583" s="35"/>
      <c r="J583" s="35"/>
      <c r="K583" s="35"/>
    </row>
    <row r="584">
      <c r="A584" s="33"/>
      <c r="G584" s="33" t="str">
        <f>IFERROR(__xludf.DUMMYFUNCTION("IF(OR(A584="""",F584=""""),"""",TEXT(WORKDAY(DATE(VALUE(LEFT(TO_TEXT(A584),4)),VALUE(MID(TO_TEXT(A584),5,2)),VALUE(RIGHT(TO_TEXT(A584),2))),F584),""yyyymmdd""))"),"")</f>
        <v/>
      </c>
      <c r="H584" s="34" t="str">
        <f t="shared" si="1"/>
        <v/>
      </c>
      <c r="I584" s="35"/>
      <c r="J584" s="35"/>
      <c r="K584" s="35"/>
    </row>
    <row r="585">
      <c r="A585" s="33"/>
      <c r="G585" s="33" t="str">
        <f>IFERROR(__xludf.DUMMYFUNCTION("IF(OR(A585="""",F585=""""),"""",TEXT(WORKDAY(DATE(VALUE(LEFT(TO_TEXT(A585),4)),VALUE(MID(TO_TEXT(A585),5,2)),VALUE(RIGHT(TO_TEXT(A585),2))),F585),""yyyymmdd""))"),"")</f>
        <v/>
      </c>
      <c r="H585" s="34" t="str">
        <f t="shared" si="1"/>
        <v/>
      </c>
      <c r="I585" s="35"/>
      <c r="J585" s="35"/>
      <c r="K585" s="35"/>
    </row>
    <row r="586">
      <c r="A586" s="33"/>
      <c r="G586" s="33" t="str">
        <f>IFERROR(__xludf.DUMMYFUNCTION("IF(OR(A586="""",F586=""""),"""",TEXT(WORKDAY(DATE(VALUE(LEFT(TO_TEXT(A586),4)),VALUE(MID(TO_TEXT(A586),5,2)),VALUE(RIGHT(TO_TEXT(A586),2))),F586),""yyyymmdd""))"),"")</f>
        <v/>
      </c>
      <c r="H586" s="34" t="str">
        <f t="shared" si="1"/>
        <v/>
      </c>
      <c r="I586" s="35"/>
      <c r="J586" s="35"/>
      <c r="K586" s="35"/>
    </row>
    <row r="587">
      <c r="A587" s="33"/>
      <c r="G587" s="33" t="str">
        <f>IFERROR(__xludf.DUMMYFUNCTION("IF(OR(A587="""",F587=""""),"""",TEXT(WORKDAY(DATE(VALUE(LEFT(TO_TEXT(A587),4)),VALUE(MID(TO_TEXT(A587),5,2)),VALUE(RIGHT(TO_TEXT(A587),2))),F587),""yyyymmdd""))"),"")</f>
        <v/>
      </c>
      <c r="H587" s="34" t="str">
        <f t="shared" si="1"/>
        <v/>
      </c>
      <c r="I587" s="35"/>
      <c r="J587" s="35"/>
      <c r="K587" s="35"/>
    </row>
    <row r="588">
      <c r="A588" s="33"/>
      <c r="G588" s="33" t="str">
        <f>IFERROR(__xludf.DUMMYFUNCTION("IF(OR(A588="""",F588=""""),"""",TEXT(WORKDAY(DATE(VALUE(LEFT(TO_TEXT(A588),4)),VALUE(MID(TO_TEXT(A588),5,2)),VALUE(RIGHT(TO_TEXT(A588),2))),F588),""yyyymmdd""))"),"")</f>
        <v/>
      </c>
      <c r="H588" s="34" t="str">
        <f t="shared" si="1"/>
        <v/>
      </c>
      <c r="I588" s="35"/>
      <c r="J588" s="35"/>
      <c r="K588" s="35"/>
    </row>
    <row r="589">
      <c r="A589" s="33"/>
      <c r="G589" s="33" t="str">
        <f>IFERROR(__xludf.DUMMYFUNCTION("IF(OR(A589="""",F589=""""),"""",TEXT(WORKDAY(DATE(VALUE(LEFT(TO_TEXT(A589),4)),VALUE(MID(TO_TEXT(A589),5,2)),VALUE(RIGHT(TO_TEXT(A589),2))),F589),""yyyymmdd""))"),"")</f>
        <v/>
      </c>
      <c r="H589" s="34" t="str">
        <f t="shared" si="1"/>
        <v/>
      </c>
      <c r="I589" s="35"/>
      <c r="J589" s="35"/>
      <c r="K589" s="35"/>
    </row>
    <row r="590">
      <c r="A590" s="33"/>
      <c r="G590" s="33" t="str">
        <f>IFERROR(__xludf.DUMMYFUNCTION("IF(OR(A590="""",F590=""""),"""",TEXT(WORKDAY(DATE(VALUE(LEFT(TO_TEXT(A590),4)),VALUE(MID(TO_TEXT(A590),5,2)),VALUE(RIGHT(TO_TEXT(A590),2))),F590),""yyyymmdd""))"),"")</f>
        <v/>
      </c>
      <c r="H590" s="34" t="str">
        <f t="shared" si="1"/>
        <v/>
      </c>
      <c r="I590" s="35"/>
      <c r="J590" s="35"/>
      <c r="K590" s="35"/>
    </row>
    <row r="591">
      <c r="A591" s="33"/>
      <c r="G591" s="33" t="str">
        <f>IFERROR(__xludf.DUMMYFUNCTION("IF(OR(A591="""",F591=""""),"""",TEXT(WORKDAY(DATE(VALUE(LEFT(TO_TEXT(A591),4)),VALUE(MID(TO_TEXT(A591),5,2)),VALUE(RIGHT(TO_TEXT(A591),2))),F591),""yyyymmdd""))"),"")</f>
        <v/>
      </c>
      <c r="H591" s="34" t="str">
        <f t="shared" si="1"/>
        <v/>
      </c>
      <c r="I591" s="35"/>
      <c r="J591" s="35"/>
      <c r="K591" s="35"/>
    </row>
    <row r="592">
      <c r="A592" s="33"/>
      <c r="G592" s="33" t="str">
        <f>IFERROR(__xludf.DUMMYFUNCTION("IF(OR(A592="""",F592=""""),"""",TEXT(WORKDAY(DATE(VALUE(LEFT(TO_TEXT(A592),4)),VALUE(MID(TO_TEXT(A592),5,2)),VALUE(RIGHT(TO_TEXT(A592),2))),F592),""yyyymmdd""))"),"")</f>
        <v/>
      </c>
      <c r="H592" s="34" t="str">
        <f t="shared" si="1"/>
        <v/>
      </c>
      <c r="I592" s="35"/>
      <c r="J592" s="35"/>
      <c r="K592" s="35"/>
    </row>
    <row r="593">
      <c r="A593" s="33"/>
      <c r="G593" s="33" t="str">
        <f>IFERROR(__xludf.DUMMYFUNCTION("IF(OR(A593="""",F593=""""),"""",TEXT(WORKDAY(DATE(VALUE(LEFT(TO_TEXT(A593),4)),VALUE(MID(TO_TEXT(A593),5,2)),VALUE(RIGHT(TO_TEXT(A593),2))),F593),""yyyymmdd""))"),"")</f>
        <v/>
      </c>
      <c r="H593" s="34" t="str">
        <f t="shared" si="1"/>
        <v/>
      </c>
      <c r="I593" s="35"/>
      <c r="J593" s="35"/>
      <c r="K593" s="35"/>
    </row>
    <row r="594">
      <c r="A594" s="33"/>
      <c r="G594" s="33" t="str">
        <f>IFERROR(__xludf.DUMMYFUNCTION("IF(OR(A594="""",F594=""""),"""",TEXT(WORKDAY(DATE(VALUE(LEFT(TO_TEXT(A594),4)),VALUE(MID(TO_TEXT(A594),5,2)),VALUE(RIGHT(TO_TEXT(A594),2))),F594),""yyyymmdd""))"),"")</f>
        <v/>
      </c>
      <c r="H594" s="34" t="str">
        <f t="shared" si="1"/>
        <v/>
      </c>
      <c r="I594" s="35"/>
      <c r="J594" s="35"/>
      <c r="K594" s="35"/>
    </row>
    <row r="595">
      <c r="A595" s="33"/>
      <c r="G595" s="33" t="str">
        <f>IFERROR(__xludf.DUMMYFUNCTION("IF(OR(A595="""",F595=""""),"""",TEXT(WORKDAY(DATE(VALUE(LEFT(TO_TEXT(A595),4)),VALUE(MID(TO_TEXT(A595),5,2)),VALUE(RIGHT(TO_TEXT(A595),2))),F595),""yyyymmdd""))"),"")</f>
        <v/>
      </c>
      <c r="H595" s="34" t="str">
        <f t="shared" si="1"/>
        <v/>
      </c>
      <c r="I595" s="35"/>
      <c r="J595" s="35"/>
      <c r="K595" s="35"/>
    </row>
    <row r="596">
      <c r="A596" s="33"/>
      <c r="G596" s="33" t="str">
        <f>IFERROR(__xludf.DUMMYFUNCTION("IF(OR(A596="""",F596=""""),"""",TEXT(WORKDAY(DATE(VALUE(LEFT(TO_TEXT(A596),4)),VALUE(MID(TO_TEXT(A596),5,2)),VALUE(RIGHT(TO_TEXT(A596),2))),F596),""yyyymmdd""))"),"")</f>
        <v/>
      </c>
      <c r="H596" s="34" t="str">
        <f t="shared" si="1"/>
        <v/>
      </c>
      <c r="I596" s="35"/>
      <c r="J596" s="35"/>
      <c r="K596" s="35"/>
    </row>
    <row r="597">
      <c r="A597" s="33"/>
      <c r="G597" s="33" t="str">
        <f>IFERROR(__xludf.DUMMYFUNCTION("IF(OR(A597="""",F597=""""),"""",TEXT(WORKDAY(DATE(VALUE(LEFT(TO_TEXT(A597),4)),VALUE(MID(TO_TEXT(A597),5,2)),VALUE(RIGHT(TO_TEXT(A597),2))),F597),""yyyymmdd""))"),"")</f>
        <v/>
      </c>
      <c r="H597" s="34" t="str">
        <f t="shared" si="1"/>
        <v/>
      </c>
      <c r="I597" s="35"/>
      <c r="J597" s="35"/>
      <c r="K597" s="35"/>
    </row>
    <row r="598">
      <c r="A598" s="33"/>
      <c r="G598" s="33" t="str">
        <f>IFERROR(__xludf.DUMMYFUNCTION("IF(OR(A598="""",F598=""""),"""",TEXT(WORKDAY(DATE(VALUE(LEFT(TO_TEXT(A598),4)),VALUE(MID(TO_TEXT(A598),5,2)),VALUE(RIGHT(TO_TEXT(A598),2))),F598),""yyyymmdd""))"),"")</f>
        <v/>
      </c>
      <c r="H598" s="34" t="str">
        <f t="shared" si="1"/>
        <v/>
      </c>
      <c r="I598" s="35"/>
      <c r="J598" s="35"/>
      <c r="K598" s="35"/>
    </row>
    <row r="599">
      <c r="A599" s="33"/>
      <c r="G599" s="33" t="str">
        <f>IFERROR(__xludf.DUMMYFUNCTION("IF(OR(A599="""",F599=""""),"""",TEXT(WORKDAY(DATE(VALUE(LEFT(TO_TEXT(A599),4)),VALUE(MID(TO_TEXT(A599),5,2)),VALUE(RIGHT(TO_TEXT(A599),2))),F599),""yyyymmdd""))"),"")</f>
        <v/>
      </c>
      <c r="H599" s="34" t="str">
        <f t="shared" si="1"/>
        <v/>
      </c>
      <c r="I599" s="35"/>
      <c r="J599" s="35"/>
      <c r="K599" s="35"/>
    </row>
    <row r="600">
      <c r="A600" s="33"/>
      <c r="G600" s="33" t="str">
        <f>IFERROR(__xludf.DUMMYFUNCTION("IF(OR(A600="""",F600=""""),"""",TEXT(WORKDAY(DATE(VALUE(LEFT(TO_TEXT(A600),4)),VALUE(MID(TO_TEXT(A600),5,2)),VALUE(RIGHT(TO_TEXT(A600),2))),F600),""yyyymmdd""))"),"")</f>
        <v/>
      </c>
      <c r="H600" s="34" t="str">
        <f t="shared" si="1"/>
        <v/>
      </c>
      <c r="I600" s="35"/>
      <c r="J600" s="35"/>
      <c r="K600" s="35"/>
    </row>
    <row r="601">
      <c r="A601" s="33"/>
      <c r="G601" s="33" t="str">
        <f>IFERROR(__xludf.DUMMYFUNCTION("IF(OR(A601="""",F601=""""),"""",TEXT(WORKDAY(DATE(VALUE(LEFT(TO_TEXT(A601),4)),VALUE(MID(TO_TEXT(A601),5,2)),VALUE(RIGHT(TO_TEXT(A601),2))),F601),""yyyymmdd""))"),"")</f>
        <v/>
      </c>
      <c r="H601" s="34" t="str">
        <f t="shared" si="1"/>
        <v/>
      </c>
      <c r="I601" s="35"/>
      <c r="J601" s="35"/>
      <c r="K601" s="35"/>
    </row>
    <row r="602">
      <c r="A602" s="33"/>
      <c r="G602" s="33" t="str">
        <f>IFERROR(__xludf.DUMMYFUNCTION("IF(OR(A602="""",F602=""""),"""",TEXT(WORKDAY(DATE(VALUE(LEFT(TO_TEXT(A602),4)),VALUE(MID(TO_TEXT(A602),5,2)),VALUE(RIGHT(TO_TEXT(A602),2))),F602),""yyyymmdd""))"),"")</f>
        <v/>
      </c>
      <c r="H602" s="34" t="str">
        <f t="shared" si="1"/>
        <v/>
      </c>
      <c r="I602" s="35"/>
      <c r="J602" s="35"/>
      <c r="K602" s="35"/>
    </row>
    <row r="603">
      <c r="A603" s="33"/>
      <c r="G603" s="33" t="str">
        <f>IFERROR(__xludf.DUMMYFUNCTION("IF(OR(A603="""",F603=""""),"""",TEXT(WORKDAY(DATE(VALUE(LEFT(TO_TEXT(A603),4)),VALUE(MID(TO_TEXT(A603),5,2)),VALUE(RIGHT(TO_TEXT(A603),2))),F603),""yyyymmdd""))"),"")</f>
        <v/>
      </c>
      <c r="H603" s="34" t="str">
        <f t="shared" si="1"/>
        <v/>
      </c>
      <c r="I603" s="35"/>
      <c r="J603" s="35"/>
      <c r="K603" s="35"/>
    </row>
    <row r="604">
      <c r="A604" s="33"/>
      <c r="G604" s="33" t="str">
        <f>IFERROR(__xludf.DUMMYFUNCTION("IF(OR(A604="""",F604=""""),"""",TEXT(WORKDAY(DATE(VALUE(LEFT(TO_TEXT(A604),4)),VALUE(MID(TO_TEXT(A604),5,2)),VALUE(RIGHT(TO_TEXT(A604),2))),F604),""yyyymmdd""))"),"")</f>
        <v/>
      </c>
      <c r="H604" s="34" t="str">
        <f t="shared" si="1"/>
        <v/>
      </c>
      <c r="I604" s="35"/>
      <c r="J604" s="35"/>
      <c r="K604" s="35"/>
    </row>
    <row r="605">
      <c r="A605" s="33"/>
      <c r="G605" s="33" t="str">
        <f>IFERROR(__xludf.DUMMYFUNCTION("IF(OR(A605="""",F605=""""),"""",TEXT(WORKDAY(DATE(VALUE(LEFT(TO_TEXT(A605),4)),VALUE(MID(TO_TEXT(A605),5,2)),VALUE(RIGHT(TO_TEXT(A605),2))),F605),""yyyymmdd""))"),"")</f>
        <v/>
      </c>
      <c r="H605" s="34" t="str">
        <f t="shared" si="1"/>
        <v/>
      </c>
      <c r="I605" s="35"/>
      <c r="J605" s="35"/>
      <c r="K605" s="35"/>
    </row>
    <row r="606">
      <c r="A606" s="33"/>
      <c r="G606" s="33" t="str">
        <f>IFERROR(__xludf.DUMMYFUNCTION("IF(OR(A606="""",F606=""""),"""",TEXT(WORKDAY(DATE(VALUE(LEFT(TO_TEXT(A606),4)),VALUE(MID(TO_TEXT(A606),5,2)),VALUE(RIGHT(TO_TEXT(A606),2))),F606),""yyyymmdd""))"),"")</f>
        <v/>
      </c>
      <c r="H606" s="34" t="str">
        <f t="shared" si="1"/>
        <v/>
      </c>
      <c r="I606" s="35"/>
      <c r="J606" s="35"/>
      <c r="K606" s="35"/>
    </row>
    <row r="607">
      <c r="A607" s="33"/>
      <c r="G607" s="33" t="str">
        <f>IFERROR(__xludf.DUMMYFUNCTION("IF(OR(A607="""",F607=""""),"""",TEXT(WORKDAY(DATE(VALUE(LEFT(TO_TEXT(A607),4)),VALUE(MID(TO_TEXT(A607),5,2)),VALUE(RIGHT(TO_TEXT(A607),2))),F607),""yyyymmdd""))"),"")</f>
        <v/>
      </c>
      <c r="H607" s="34" t="str">
        <f t="shared" si="1"/>
        <v/>
      </c>
      <c r="I607" s="35"/>
      <c r="J607" s="35"/>
      <c r="K607" s="35"/>
    </row>
    <row r="608">
      <c r="A608" s="33"/>
      <c r="G608" s="33" t="str">
        <f>IFERROR(__xludf.DUMMYFUNCTION("IF(OR(A608="""",F608=""""),"""",TEXT(WORKDAY(DATE(VALUE(LEFT(TO_TEXT(A608),4)),VALUE(MID(TO_TEXT(A608),5,2)),VALUE(RIGHT(TO_TEXT(A608),2))),F608),""yyyymmdd""))"),"")</f>
        <v/>
      </c>
      <c r="H608" s="34" t="str">
        <f t="shared" si="1"/>
        <v/>
      </c>
      <c r="I608" s="35"/>
      <c r="J608" s="35"/>
      <c r="K608" s="35"/>
    </row>
    <row r="609">
      <c r="A609" s="33"/>
      <c r="G609" s="33" t="str">
        <f>IFERROR(__xludf.DUMMYFUNCTION("IF(OR(A609="""",F609=""""),"""",TEXT(WORKDAY(DATE(VALUE(LEFT(TO_TEXT(A609),4)),VALUE(MID(TO_TEXT(A609),5,2)),VALUE(RIGHT(TO_TEXT(A609),2))),F609),""yyyymmdd""))"),"")</f>
        <v/>
      </c>
      <c r="H609" s="34" t="str">
        <f t="shared" si="1"/>
        <v/>
      </c>
      <c r="I609" s="35"/>
      <c r="J609" s="35"/>
      <c r="K609" s="35"/>
    </row>
    <row r="610">
      <c r="A610" s="33"/>
      <c r="G610" s="33" t="str">
        <f>IFERROR(__xludf.DUMMYFUNCTION("IF(OR(A610="""",F610=""""),"""",TEXT(WORKDAY(DATE(VALUE(LEFT(TO_TEXT(A610),4)),VALUE(MID(TO_TEXT(A610),5,2)),VALUE(RIGHT(TO_TEXT(A610),2))),F610),""yyyymmdd""))"),"")</f>
        <v/>
      </c>
      <c r="H610" s="34" t="str">
        <f t="shared" si="1"/>
        <v/>
      </c>
      <c r="I610" s="35"/>
      <c r="J610" s="35"/>
      <c r="K610" s="35"/>
    </row>
    <row r="611">
      <c r="A611" s="33"/>
      <c r="G611" s="33" t="str">
        <f>IFERROR(__xludf.DUMMYFUNCTION("IF(OR(A611="""",F611=""""),"""",TEXT(WORKDAY(DATE(VALUE(LEFT(TO_TEXT(A611),4)),VALUE(MID(TO_TEXT(A611),5,2)),VALUE(RIGHT(TO_TEXT(A611),2))),F611),""yyyymmdd""))"),"")</f>
        <v/>
      </c>
      <c r="H611" s="34" t="str">
        <f t="shared" si="1"/>
        <v/>
      </c>
      <c r="I611" s="35"/>
      <c r="J611" s="35"/>
      <c r="K611" s="35"/>
    </row>
    <row r="612">
      <c r="A612" s="33"/>
      <c r="G612" s="33" t="str">
        <f>IFERROR(__xludf.DUMMYFUNCTION("IF(OR(A612="""",F612=""""),"""",TEXT(WORKDAY(DATE(VALUE(LEFT(TO_TEXT(A612),4)),VALUE(MID(TO_TEXT(A612),5,2)),VALUE(RIGHT(TO_TEXT(A612),2))),F612),""yyyymmdd""))"),"")</f>
        <v/>
      </c>
      <c r="H612" s="34" t="str">
        <f t="shared" si="1"/>
        <v/>
      </c>
      <c r="I612" s="35"/>
      <c r="J612" s="35"/>
      <c r="K612" s="35"/>
    </row>
    <row r="613">
      <c r="A613" s="33"/>
      <c r="G613" s="33" t="str">
        <f>IFERROR(__xludf.DUMMYFUNCTION("IF(OR(A613="""",F613=""""),"""",TEXT(WORKDAY(DATE(VALUE(LEFT(TO_TEXT(A613),4)),VALUE(MID(TO_TEXT(A613),5,2)),VALUE(RIGHT(TO_TEXT(A613),2))),F613),""yyyymmdd""))"),"")</f>
        <v/>
      </c>
      <c r="H613" s="34" t="str">
        <f t="shared" si="1"/>
        <v/>
      </c>
      <c r="I613" s="35"/>
      <c r="J613" s="35"/>
      <c r="K613" s="35"/>
    </row>
    <row r="614">
      <c r="A614" s="33"/>
      <c r="G614" s="33" t="str">
        <f>IFERROR(__xludf.DUMMYFUNCTION("IF(OR(A614="""",F614=""""),"""",TEXT(WORKDAY(DATE(VALUE(LEFT(TO_TEXT(A614),4)),VALUE(MID(TO_TEXT(A614),5,2)),VALUE(RIGHT(TO_TEXT(A614),2))),F614),""yyyymmdd""))"),"")</f>
        <v/>
      </c>
      <c r="H614" s="34" t="str">
        <f t="shared" si="1"/>
        <v/>
      </c>
      <c r="I614" s="35"/>
      <c r="J614" s="35"/>
      <c r="K614" s="35"/>
    </row>
    <row r="615">
      <c r="A615" s="33"/>
      <c r="G615" s="33" t="str">
        <f>IFERROR(__xludf.DUMMYFUNCTION("IF(OR(A615="""",F615=""""),"""",TEXT(WORKDAY(DATE(VALUE(LEFT(TO_TEXT(A615),4)),VALUE(MID(TO_TEXT(A615),5,2)),VALUE(RIGHT(TO_TEXT(A615),2))),F615),""yyyymmdd""))"),"")</f>
        <v/>
      </c>
      <c r="H615" s="34" t="str">
        <f t="shared" si="1"/>
        <v/>
      </c>
      <c r="I615" s="35"/>
      <c r="J615" s="35"/>
      <c r="K615" s="35"/>
    </row>
    <row r="616">
      <c r="A616" s="33"/>
      <c r="G616" s="33" t="str">
        <f>IFERROR(__xludf.DUMMYFUNCTION("IF(OR(A616="""",F616=""""),"""",TEXT(WORKDAY(DATE(VALUE(LEFT(TO_TEXT(A616),4)),VALUE(MID(TO_TEXT(A616),5,2)),VALUE(RIGHT(TO_TEXT(A616),2))),F616),""yyyymmdd""))"),"")</f>
        <v/>
      </c>
      <c r="H616" s="34" t="str">
        <f t="shared" si="1"/>
        <v/>
      </c>
      <c r="I616" s="35"/>
      <c r="J616" s="35"/>
      <c r="K616" s="35"/>
    </row>
    <row r="617">
      <c r="A617" s="33"/>
      <c r="G617" s="33" t="str">
        <f>IFERROR(__xludf.DUMMYFUNCTION("IF(OR(A617="""",F617=""""),"""",TEXT(WORKDAY(DATE(VALUE(LEFT(TO_TEXT(A617),4)),VALUE(MID(TO_TEXT(A617),5,2)),VALUE(RIGHT(TO_TEXT(A617),2))),F617),""yyyymmdd""))"),"")</f>
        <v/>
      </c>
      <c r="H617" s="34" t="str">
        <f t="shared" si="1"/>
        <v/>
      </c>
      <c r="I617" s="35"/>
      <c r="J617" s="35"/>
      <c r="K617" s="35"/>
    </row>
    <row r="618">
      <c r="A618" s="33"/>
      <c r="G618" s="33" t="str">
        <f>IFERROR(__xludf.DUMMYFUNCTION("IF(OR(A618="""",F618=""""),"""",TEXT(WORKDAY(DATE(VALUE(LEFT(TO_TEXT(A618),4)),VALUE(MID(TO_TEXT(A618),5,2)),VALUE(RIGHT(TO_TEXT(A618),2))),F618),""yyyymmdd""))"),"")</f>
        <v/>
      </c>
      <c r="H618" s="34" t="str">
        <f t="shared" si="1"/>
        <v/>
      </c>
      <c r="I618" s="35"/>
      <c r="J618" s="35"/>
      <c r="K618" s="35"/>
    </row>
    <row r="619">
      <c r="A619" s="33"/>
      <c r="G619" s="33" t="str">
        <f>IFERROR(__xludf.DUMMYFUNCTION("IF(OR(A619="""",F619=""""),"""",TEXT(WORKDAY(DATE(VALUE(LEFT(TO_TEXT(A619),4)),VALUE(MID(TO_TEXT(A619),5,2)),VALUE(RIGHT(TO_TEXT(A619),2))),F619),""yyyymmdd""))"),"")</f>
        <v/>
      </c>
      <c r="H619" s="34" t="str">
        <f t="shared" si="1"/>
        <v/>
      </c>
      <c r="I619" s="35"/>
      <c r="J619" s="35"/>
      <c r="K619" s="35"/>
    </row>
    <row r="620">
      <c r="A620" s="33"/>
      <c r="G620" s="33" t="str">
        <f>IFERROR(__xludf.DUMMYFUNCTION("IF(OR(A620="""",F620=""""),"""",TEXT(WORKDAY(DATE(VALUE(LEFT(TO_TEXT(A620),4)),VALUE(MID(TO_TEXT(A620),5,2)),VALUE(RIGHT(TO_TEXT(A620),2))),F620),""yyyymmdd""))"),"")</f>
        <v/>
      </c>
      <c r="H620" s="34" t="str">
        <f t="shared" si="1"/>
        <v/>
      </c>
      <c r="I620" s="35"/>
      <c r="J620" s="35"/>
      <c r="K620" s="35"/>
    </row>
    <row r="621">
      <c r="A621" s="33"/>
      <c r="G621" s="33" t="str">
        <f>IFERROR(__xludf.DUMMYFUNCTION("IF(OR(A621="""",F621=""""),"""",TEXT(WORKDAY(DATE(VALUE(LEFT(TO_TEXT(A621),4)),VALUE(MID(TO_TEXT(A621),5,2)),VALUE(RIGHT(TO_TEXT(A621),2))),F621),""yyyymmdd""))"),"")</f>
        <v/>
      </c>
      <c r="H621" s="34" t="str">
        <f t="shared" si="1"/>
        <v/>
      </c>
      <c r="I621" s="35"/>
      <c r="J621" s="35"/>
      <c r="K621" s="35"/>
    </row>
    <row r="622">
      <c r="A622" s="33"/>
      <c r="G622" s="33" t="str">
        <f>IFERROR(__xludf.DUMMYFUNCTION("IF(OR(A622="""",F622=""""),"""",TEXT(WORKDAY(DATE(VALUE(LEFT(TO_TEXT(A622),4)),VALUE(MID(TO_TEXT(A622),5,2)),VALUE(RIGHT(TO_TEXT(A622),2))),F622),""yyyymmdd""))"),"")</f>
        <v/>
      </c>
      <c r="H622" s="34" t="str">
        <f t="shared" si="1"/>
        <v/>
      </c>
      <c r="I622" s="35"/>
      <c r="J622" s="35"/>
      <c r="K622" s="35"/>
    </row>
    <row r="623">
      <c r="A623" s="33"/>
      <c r="G623" s="33" t="str">
        <f>IFERROR(__xludf.DUMMYFUNCTION("IF(OR(A623="""",F623=""""),"""",TEXT(WORKDAY(DATE(VALUE(LEFT(TO_TEXT(A623),4)),VALUE(MID(TO_TEXT(A623),5,2)),VALUE(RIGHT(TO_TEXT(A623),2))),F623),""yyyymmdd""))"),"")</f>
        <v/>
      </c>
      <c r="H623" s="34" t="str">
        <f t="shared" si="1"/>
        <v/>
      </c>
      <c r="I623" s="35"/>
      <c r="J623" s="35"/>
      <c r="K623" s="35"/>
    </row>
    <row r="624">
      <c r="A624" s="33"/>
      <c r="G624" s="33" t="str">
        <f>IFERROR(__xludf.DUMMYFUNCTION("IF(OR(A624="""",F624=""""),"""",TEXT(WORKDAY(DATE(VALUE(LEFT(TO_TEXT(A624),4)),VALUE(MID(TO_TEXT(A624),5,2)),VALUE(RIGHT(TO_TEXT(A624),2))),F624),""yyyymmdd""))"),"")</f>
        <v/>
      </c>
      <c r="H624" s="34" t="str">
        <f t="shared" si="1"/>
        <v/>
      </c>
      <c r="I624" s="35"/>
      <c r="J624" s="35"/>
      <c r="K624" s="35"/>
    </row>
    <row r="625">
      <c r="A625" s="33"/>
      <c r="G625" s="33" t="str">
        <f>IFERROR(__xludf.DUMMYFUNCTION("IF(OR(A625="""",F625=""""),"""",TEXT(WORKDAY(DATE(VALUE(LEFT(TO_TEXT(A625),4)),VALUE(MID(TO_TEXT(A625),5,2)),VALUE(RIGHT(TO_TEXT(A625),2))),F625),""yyyymmdd""))"),"")</f>
        <v/>
      </c>
      <c r="H625" s="34" t="str">
        <f t="shared" si="1"/>
        <v/>
      </c>
      <c r="I625" s="35"/>
      <c r="J625" s="35"/>
      <c r="K625" s="35"/>
    </row>
    <row r="626">
      <c r="A626" s="33"/>
      <c r="G626" s="33" t="str">
        <f>IFERROR(__xludf.DUMMYFUNCTION("IF(OR(A626="""",F626=""""),"""",TEXT(WORKDAY(DATE(VALUE(LEFT(TO_TEXT(A626),4)),VALUE(MID(TO_TEXT(A626),5,2)),VALUE(RIGHT(TO_TEXT(A626),2))),F626),""yyyymmdd""))"),"")</f>
        <v/>
      </c>
      <c r="H626" s="34" t="str">
        <f t="shared" si="1"/>
        <v/>
      </c>
      <c r="I626" s="35"/>
      <c r="J626" s="35"/>
      <c r="K626" s="35"/>
    </row>
    <row r="627">
      <c r="A627" s="33"/>
      <c r="G627" s="33" t="str">
        <f>IFERROR(__xludf.DUMMYFUNCTION("IF(OR(A627="""",F627=""""),"""",TEXT(WORKDAY(DATE(VALUE(LEFT(TO_TEXT(A627),4)),VALUE(MID(TO_TEXT(A627),5,2)),VALUE(RIGHT(TO_TEXT(A627),2))),F627),""yyyymmdd""))"),"")</f>
        <v/>
      </c>
      <c r="H627" s="34" t="str">
        <f t="shared" si="1"/>
        <v/>
      </c>
      <c r="I627" s="35"/>
      <c r="J627" s="35"/>
      <c r="K627" s="35"/>
    </row>
    <row r="628">
      <c r="A628" s="33"/>
      <c r="G628" s="33" t="str">
        <f>IFERROR(__xludf.DUMMYFUNCTION("IF(OR(A628="""",F628=""""),"""",TEXT(WORKDAY(DATE(VALUE(LEFT(TO_TEXT(A628),4)),VALUE(MID(TO_TEXT(A628),5,2)),VALUE(RIGHT(TO_TEXT(A628),2))),F628),""yyyymmdd""))"),"")</f>
        <v/>
      </c>
      <c r="H628" s="34" t="str">
        <f t="shared" si="1"/>
        <v/>
      </c>
      <c r="I628" s="35"/>
      <c r="J628" s="35"/>
      <c r="K628" s="35"/>
    </row>
    <row r="629">
      <c r="A629" s="33"/>
      <c r="G629" s="33" t="str">
        <f>IFERROR(__xludf.DUMMYFUNCTION("IF(OR(A629="""",F629=""""),"""",TEXT(WORKDAY(DATE(VALUE(LEFT(TO_TEXT(A629),4)),VALUE(MID(TO_TEXT(A629),5,2)),VALUE(RIGHT(TO_TEXT(A629),2))),F629),""yyyymmdd""))"),"")</f>
        <v/>
      </c>
      <c r="H629" s="34" t="str">
        <f t="shared" si="1"/>
        <v/>
      </c>
      <c r="I629" s="35"/>
      <c r="J629" s="35"/>
      <c r="K629" s="35"/>
    </row>
    <row r="630">
      <c r="A630" s="33"/>
      <c r="G630" s="33" t="str">
        <f>IFERROR(__xludf.DUMMYFUNCTION("IF(OR(A630="""",F630=""""),"""",TEXT(WORKDAY(DATE(VALUE(LEFT(TO_TEXT(A630),4)),VALUE(MID(TO_TEXT(A630),5,2)),VALUE(RIGHT(TO_TEXT(A630),2))),F630),""yyyymmdd""))"),"")</f>
        <v/>
      </c>
      <c r="H630" s="34" t="str">
        <f t="shared" si="1"/>
        <v/>
      </c>
      <c r="I630" s="35"/>
      <c r="J630" s="35"/>
      <c r="K630" s="35"/>
    </row>
    <row r="631">
      <c r="A631" s="33"/>
      <c r="G631" s="33" t="str">
        <f>IFERROR(__xludf.DUMMYFUNCTION("IF(OR(A631="""",F631=""""),"""",TEXT(WORKDAY(DATE(VALUE(LEFT(TO_TEXT(A631),4)),VALUE(MID(TO_TEXT(A631),5,2)),VALUE(RIGHT(TO_TEXT(A631),2))),F631),""yyyymmdd""))"),"")</f>
        <v/>
      </c>
      <c r="H631" s="34" t="str">
        <f t="shared" si="1"/>
        <v/>
      </c>
      <c r="I631" s="35"/>
      <c r="J631" s="35"/>
      <c r="K631" s="35"/>
    </row>
    <row r="632">
      <c r="A632" s="33"/>
      <c r="G632" s="33" t="str">
        <f>IFERROR(__xludf.DUMMYFUNCTION("IF(OR(A632="""",F632=""""),"""",TEXT(WORKDAY(DATE(VALUE(LEFT(TO_TEXT(A632),4)),VALUE(MID(TO_TEXT(A632),5,2)),VALUE(RIGHT(TO_TEXT(A632),2))),F632),""yyyymmdd""))"),"")</f>
        <v/>
      </c>
      <c r="H632" s="34" t="str">
        <f t="shared" si="1"/>
        <v/>
      </c>
      <c r="I632" s="35"/>
      <c r="J632" s="35"/>
      <c r="K632" s="35"/>
    </row>
    <row r="633">
      <c r="A633" s="33"/>
      <c r="G633" s="33" t="str">
        <f>IFERROR(__xludf.DUMMYFUNCTION("IF(OR(A633="""",F633=""""),"""",TEXT(WORKDAY(DATE(VALUE(LEFT(TO_TEXT(A633),4)),VALUE(MID(TO_TEXT(A633),5,2)),VALUE(RIGHT(TO_TEXT(A633),2))),F633),""yyyymmdd""))"),"")</f>
        <v/>
      </c>
      <c r="H633" s="34" t="str">
        <f t="shared" si="1"/>
        <v/>
      </c>
      <c r="I633" s="35"/>
      <c r="J633" s="35"/>
      <c r="K633" s="35"/>
    </row>
    <row r="634">
      <c r="A634" s="33"/>
      <c r="G634" s="33" t="str">
        <f>IFERROR(__xludf.DUMMYFUNCTION("IF(OR(A634="""",F634=""""),"""",TEXT(WORKDAY(DATE(VALUE(LEFT(TO_TEXT(A634),4)),VALUE(MID(TO_TEXT(A634),5,2)),VALUE(RIGHT(TO_TEXT(A634),2))),F634),""yyyymmdd""))"),"")</f>
        <v/>
      </c>
      <c r="H634" s="34" t="str">
        <f t="shared" si="1"/>
        <v/>
      </c>
      <c r="I634" s="35"/>
      <c r="J634" s="35"/>
      <c r="K634" s="35"/>
    </row>
    <row r="635">
      <c r="A635" s="33"/>
      <c r="G635" s="33" t="str">
        <f>IFERROR(__xludf.DUMMYFUNCTION("IF(OR(A635="""",F635=""""),"""",TEXT(WORKDAY(DATE(VALUE(LEFT(TO_TEXT(A635),4)),VALUE(MID(TO_TEXT(A635),5,2)),VALUE(RIGHT(TO_TEXT(A635),2))),F635),""yyyymmdd""))"),"")</f>
        <v/>
      </c>
      <c r="H635" s="34" t="str">
        <f t="shared" si="1"/>
        <v/>
      </c>
      <c r="I635" s="35"/>
      <c r="J635" s="35"/>
      <c r="K635" s="35"/>
    </row>
    <row r="636">
      <c r="A636" s="33"/>
      <c r="G636" s="33" t="str">
        <f>IFERROR(__xludf.DUMMYFUNCTION("IF(OR(A636="""",F636=""""),"""",TEXT(WORKDAY(DATE(VALUE(LEFT(TO_TEXT(A636),4)),VALUE(MID(TO_TEXT(A636),5,2)),VALUE(RIGHT(TO_TEXT(A636),2))),F636),""yyyymmdd""))"),"")</f>
        <v/>
      </c>
      <c r="H636" s="34" t="str">
        <f t="shared" si="1"/>
        <v/>
      </c>
      <c r="I636" s="35"/>
      <c r="J636" s="35"/>
      <c r="K636" s="35"/>
    </row>
    <row r="637">
      <c r="A637" s="33"/>
      <c r="G637" s="33" t="str">
        <f>IFERROR(__xludf.DUMMYFUNCTION("IF(OR(A637="""",F637=""""),"""",TEXT(WORKDAY(DATE(VALUE(LEFT(TO_TEXT(A637),4)),VALUE(MID(TO_TEXT(A637),5,2)),VALUE(RIGHT(TO_TEXT(A637),2))),F637),""yyyymmdd""))"),"")</f>
        <v/>
      </c>
      <c r="H637" s="34" t="str">
        <f t="shared" si="1"/>
        <v/>
      </c>
      <c r="I637" s="35"/>
      <c r="J637" s="35"/>
      <c r="K637" s="35"/>
    </row>
    <row r="638">
      <c r="A638" s="33"/>
      <c r="G638" s="33" t="str">
        <f>IFERROR(__xludf.DUMMYFUNCTION("IF(OR(A638="""",F638=""""),"""",TEXT(WORKDAY(DATE(VALUE(LEFT(TO_TEXT(A638),4)),VALUE(MID(TO_TEXT(A638),5,2)),VALUE(RIGHT(TO_TEXT(A638),2))),F638),""yyyymmdd""))"),"")</f>
        <v/>
      </c>
      <c r="H638" s="34" t="str">
        <f t="shared" si="1"/>
        <v/>
      </c>
      <c r="I638" s="35"/>
      <c r="J638" s="35"/>
      <c r="K638" s="35"/>
    </row>
    <row r="639">
      <c r="A639" s="33"/>
      <c r="G639" s="33" t="str">
        <f>IFERROR(__xludf.DUMMYFUNCTION("IF(OR(A639="""",F639=""""),"""",TEXT(WORKDAY(DATE(VALUE(LEFT(TO_TEXT(A639),4)),VALUE(MID(TO_TEXT(A639),5,2)),VALUE(RIGHT(TO_TEXT(A639),2))),F639),""yyyymmdd""))"),"")</f>
        <v/>
      </c>
      <c r="H639" s="34" t="str">
        <f t="shared" si="1"/>
        <v/>
      </c>
      <c r="I639" s="35"/>
      <c r="J639" s="35"/>
      <c r="K639" s="35"/>
    </row>
    <row r="640">
      <c r="A640" s="33"/>
      <c r="G640" s="33" t="str">
        <f>IFERROR(__xludf.DUMMYFUNCTION("IF(OR(A640="""",F640=""""),"""",TEXT(WORKDAY(DATE(VALUE(LEFT(TO_TEXT(A640),4)),VALUE(MID(TO_TEXT(A640),5,2)),VALUE(RIGHT(TO_TEXT(A640),2))),F640),""yyyymmdd""))"),"")</f>
        <v/>
      </c>
      <c r="H640" s="34" t="str">
        <f t="shared" si="1"/>
        <v/>
      </c>
      <c r="I640" s="35"/>
      <c r="J640" s="35"/>
      <c r="K640" s="35"/>
    </row>
    <row r="641">
      <c r="A641" s="33"/>
      <c r="G641" s="33" t="str">
        <f>IFERROR(__xludf.DUMMYFUNCTION("IF(OR(A641="""",F641=""""),"""",TEXT(WORKDAY(DATE(VALUE(LEFT(TO_TEXT(A641),4)),VALUE(MID(TO_TEXT(A641),5,2)),VALUE(RIGHT(TO_TEXT(A641),2))),F641),""yyyymmdd""))"),"")</f>
        <v/>
      </c>
      <c r="H641" s="34" t="str">
        <f t="shared" si="1"/>
        <v/>
      </c>
      <c r="I641" s="35"/>
      <c r="J641" s="35"/>
      <c r="K641" s="35"/>
    </row>
    <row r="642">
      <c r="A642" s="33"/>
      <c r="G642" s="33" t="str">
        <f>IFERROR(__xludf.DUMMYFUNCTION("IF(OR(A642="""",F642=""""),"""",TEXT(WORKDAY(DATE(VALUE(LEFT(TO_TEXT(A642),4)),VALUE(MID(TO_TEXT(A642),5,2)),VALUE(RIGHT(TO_TEXT(A642),2))),F642),""yyyymmdd""))"),"")</f>
        <v/>
      </c>
      <c r="H642" s="34" t="str">
        <f t="shared" si="1"/>
        <v/>
      </c>
      <c r="I642" s="35"/>
      <c r="J642" s="35"/>
      <c r="K642" s="35"/>
    </row>
    <row r="643">
      <c r="A643" s="33"/>
      <c r="G643" s="33" t="str">
        <f>IFERROR(__xludf.DUMMYFUNCTION("IF(OR(A643="""",F643=""""),"""",TEXT(WORKDAY(DATE(VALUE(LEFT(TO_TEXT(A643),4)),VALUE(MID(TO_TEXT(A643),5,2)),VALUE(RIGHT(TO_TEXT(A643),2))),F643),""yyyymmdd""))"),"")</f>
        <v/>
      </c>
      <c r="H643" s="34" t="str">
        <f t="shared" si="1"/>
        <v/>
      </c>
      <c r="I643" s="35"/>
      <c r="J643" s="35"/>
      <c r="K643" s="35"/>
    </row>
    <row r="644">
      <c r="A644" s="33"/>
      <c r="G644" s="33" t="str">
        <f>IFERROR(__xludf.DUMMYFUNCTION("IF(OR(A644="""",F644=""""),"""",TEXT(WORKDAY(DATE(VALUE(LEFT(TO_TEXT(A644),4)),VALUE(MID(TO_TEXT(A644),5,2)),VALUE(RIGHT(TO_TEXT(A644),2))),F644),""yyyymmdd""))"),"")</f>
        <v/>
      </c>
      <c r="H644" s="34" t="str">
        <f t="shared" si="1"/>
        <v/>
      </c>
      <c r="I644" s="35"/>
      <c r="J644" s="35"/>
      <c r="K644" s="35"/>
    </row>
    <row r="645">
      <c r="A645" s="33"/>
      <c r="G645" s="33" t="str">
        <f>IFERROR(__xludf.DUMMYFUNCTION("IF(OR(A645="""",F645=""""),"""",TEXT(WORKDAY(DATE(VALUE(LEFT(TO_TEXT(A645),4)),VALUE(MID(TO_TEXT(A645),5,2)),VALUE(RIGHT(TO_TEXT(A645),2))),F645),""yyyymmdd""))"),"")</f>
        <v/>
      </c>
      <c r="H645" s="34" t="str">
        <f t="shared" si="1"/>
        <v/>
      </c>
      <c r="I645" s="35"/>
      <c r="J645" s="35"/>
      <c r="K645" s="35"/>
    </row>
    <row r="646">
      <c r="A646" s="33"/>
      <c r="G646" s="33" t="str">
        <f>IFERROR(__xludf.DUMMYFUNCTION("IF(OR(A646="""",F646=""""),"""",TEXT(WORKDAY(DATE(VALUE(LEFT(TO_TEXT(A646),4)),VALUE(MID(TO_TEXT(A646),5,2)),VALUE(RIGHT(TO_TEXT(A646),2))),F646),""yyyymmdd""))"),"")</f>
        <v/>
      </c>
      <c r="H646" s="34" t="str">
        <f t="shared" si="1"/>
        <v/>
      </c>
      <c r="I646" s="35"/>
      <c r="J646" s="35"/>
      <c r="K646" s="35"/>
    </row>
    <row r="647">
      <c r="A647" s="33"/>
      <c r="G647" s="33" t="str">
        <f>IFERROR(__xludf.DUMMYFUNCTION("IF(OR(A647="""",F647=""""),"""",TEXT(WORKDAY(DATE(VALUE(LEFT(TO_TEXT(A647),4)),VALUE(MID(TO_TEXT(A647),5,2)),VALUE(RIGHT(TO_TEXT(A647),2))),F647),""yyyymmdd""))"),"")</f>
        <v/>
      </c>
      <c r="H647" s="34" t="str">
        <f t="shared" si="1"/>
        <v/>
      </c>
      <c r="I647" s="35"/>
      <c r="J647" s="35"/>
      <c r="K647" s="35"/>
    </row>
    <row r="648">
      <c r="A648" s="33"/>
      <c r="G648" s="33" t="str">
        <f>IFERROR(__xludf.DUMMYFUNCTION("IF(OR(A648="""",F648=""""),"""",TEXT(WORKDAY(DATE(VALUE(LEFT(TO_TEXT(A648),4)),VALUE(MID(TO_TEXT(A648),5,2)),VALUE(RIGHT(TO_TEXT(A648),2))),F648),""yyyymmdd""))"),"")</f>
        <v/>
      </c>
      <c r="H648" s="34" t="str">
        <f t="shared" si="1"/>
        <v/>
      </c>
      <c r="I648" s="35"/>
      <c r="J648" s="35"/>
      <c r="K648" s="35"/>
    </row>
    <row r="649">
      <c r="A649" s="33"/>
      <c r="G649" s="33" t="str">
        <f>IFERROR(__xludf.DUMMYFUNCTION("IF(OR(A649="""",F649=""""),"""",TEXT(WORKDAY(DATE(VALUE(LEFT(TO_TEXT(A649),4)),VALUE(MID(TO_TEXT(A649),5,2)),VALUE(RIGHT(TO_TEXT(A649),2))),F649),""yyyymmdd""))"),"")</f>
        <v/>
      </c>
      <c r="H649" s="34" t="str">
        <f t="shared" si="1"/>
        <v/>
      </c>
      <c r="I649" s="35"/>
      <c r="J649" s="35"/>
      <c r="K649" s="35"/>
    </row>
    <row r="650">
      <c r="A650" s="33"/>
      <c r="G650" s="33" t="str">
        <f>IFERROR(__xludf.DUMMYFUNCTION("IF(OR(A650="""",F650=""""),"""",TEXT(WORKDAY(DATE(VALUE(LEFT(TO_TEXT(A650),4)),VALUE(MID(TO_TEXT(A650),5,2)),VALUE(RIGHT(TO_TEXT(A650),2))),F650),""yyyymmdd""))"),"")</f>
        <v/>
      </c>
      <c r="H650" s="34" t="str">
        <f t="shared" si="1"/>
        <v/>
      </c>
      <c r="I650" s="35"/>
      <c r="J650" s="35"/>
      <c r="K650" s="35"/>
    </row>
    <row r="651">
      <c r="A651" s="33"/>
      <c r="G651" s="33" t="str">
        <f>IFERROR(__xludf.DUMMYFUNCTION("IF(OR(A651="""",F651=""""),"""",TEXT(WORKDAY(DATE(VALUE(LEFT(TO_TEXT(A651),4)),VALUE(MID(TO_TEXT(A651),5,2)),VALUE(RIGHT(TO_TEXT(A651),2))),F651),""yyyymmdd""))"),"")</f>
        <v/>
      </c>
      <c r="H651" s="34" t="str">
        <f t="shared" si="1"/>
        <v/>
      </c>
      <c r="I651" s="35"/>
      <c r="J651" s="35"/>
      <c r="K651" s="35"/>
    </row>
    <row r="652">
      <c r="A652" s="33"/>
      <c r="G652" s="33" t="str">
        <f>IFERROR(__xludf.DUMMYFUNCTION("IF(OR(A652="""",F652=""""),"""",TEXT(WORKDAY(DATE(VALUE(LEFT(TO_TEXT(A652),4)),VALUE(MID(TO_TEXT(A652),5,2)),VALUE(RIGHT(TO_TEXT(A652),2))),F652),""yyyymmdd""))"),"")</f>
        <v/>
      </c>
      <c r="H652" s="34" t="str">
        <f t="shared" si="1"/>
        <v/>
      </c>
      <c r="I652" s="35"/>
      <c r="J652" s="35"/>
      <c r="K652" s="35"/>
    </row>
    <row r="653">
      <c r="A653" s="33"/>
      <c r="G653" s="33" t="str">
        <f>IFERROR(__xludf.DUMMYFUNCTION("IF(OR(A653="""",F653=""""),"""",TEXT(WORKDAY(DATE(VALUE(LEFT(TO_TEXT(A653),4)),VALUE(MID(TO_TEXT(A653),5,2)),VALUE(RIGHT(TO_TEXT(A653),2))),F653),""yyyymmdd""))"),"")</f>
        <v/>
      </c>
      <c r="H653" s="34" t="str">
        <f t="shared" si="1"/>
        <v/>
      </c>
      <c r="I653" s="35"/>
      <c r="J653" s="35"/>
      <c r="K653" s="35"/>
    </row>
    <row r="654">
      <c r="A654" s="33"/>
      <c r="G654" s="33" t="str">
        <f>IFERROR(__xludf.DUMMYFUNCTION("IF(OR(A654="""",F654=""""),"""",TEXT(WORKDAY(DATE(VALUE(LEFT(TO_TEXT(A654),4)),VALUE(MID(TO_TEXT(A654),5,2)),VALUE(RIGHT(TO_TEXT(A654),2))),F654),""yyyymmdd""))"),"")</f>
        <v/>
      </c>
      <c r="H654" s="34" t="str">
        <f t="shared" si="1"/>
        <v/>
      </c>
      <c r="I654" s="35"/>
      <c r="J654" s="35"/>
      <c r="K654" s="35"/>
    </row>
    <row r="655">
      <c r="A655" s="33"/>
      <c r="G655" s="33" t="str">
        <f>IFERROR(__xludf.DUMMYFUNCTION("IF(OR(A655="""",F655=""""),"""",TEXT(WORKDAY(DATE(VALUE(LEFT(TO_TEXT(A655),4)),VALUE(MID(TO_TEXT(A655),5,2)),VALUE(RIGHT(TO_TEXT(A655),2))),F655),""yyyymmdd""))"),"")</f>
        <v/>
      </c>
      <c r="H655" s="34" t="str">
        <f t="shared" si="1"/>
        <v/>
      </c>
      <c r="I655" s="35"/>
      <c r="J655" s="35"/>
      <c r="K655" s="35"/>
    </row>
    <row r="656">
      <c r="A656" s="33"/>
      <c r="G656" s="33" t="str">
        <f>IFERROR(__xludf.DUMMYFUNCTION("IF(OR(A656="""",F656=""""),"""",TEXT(WORKDAY(DATE(VALUE(LEFT(TO_TEXT(A656),4)),VALUE(MID(TO_TEXT(A656),5,2)),VALUE(RIGHT(TO_TEXT(A656),2))),F656),""yyyymmdd""))"),"")</f>
        <v/>
      </c>
      <c r="H656" s="34" t="str">
        <f t="shared" si="1"/>
        <v/>
      </c>
      <c r="I656" s="35"/>
      <c r="J656" s="35"/>
      <c r="K656" s="35"/>
    </row>
    <row r="657">
      <c r="A657" s="33"/>
      <c r="G657" s="33" t="str">
        <f>IFERROR(__xludf.DUMMYFUNCTION("IF(OR(A657="""",F657=""""),"""",TEXT(WORKDAY(DATE(VALUE(LEFT(TO_TEXT(A657),4)),VALUE(MID(TO_TEXT(A657),5,2)),VALUE(RIGHT(TO_TEXT(A657),2))),F657),""yyyymmdd""))"),"")</f>
        <v/>
      </c>
      <c r="H657" s="34" t="str">
        <f t="shared" si="1"/>
        <v/>
      </c>
      <c r="I657" s="35"/>
      <c r="J657" s="35"/>
      <c r="K657" s="35"/>
    </row>
    <row r="658">
      <c r="A658" s="33"/>
      <c r="G658" s="33" t="str">
        <f>IFERROR(__xludf.DUMMYFUNCTION("IF(OR(A658="""",F658=""""),"""",TEXT(WORKDAY(DATE(VALUE(LEFT(TO_TEXT(A658),4)),VALUE(MID(TO_TEXT(A658),5,2)),VALUE(RIGHT(TO_TEXT(A658),2))),F658),""yyyymmdd""))"),"")</f>
        <v/>
      </c>
      <c r="H658" s="34" t="str">
        <f t="shared" si="1"/>
        <v/>
      </c>
      <c r="I658" s="35"/>
      <c r="J658" s="35"/>
      <c r="K658" s="35"/>
    </row>
    <row r="659">
      <c r="A659" s="33"/>
      <c r="G659" s="33" t="str">
        <f>IFERROR(__xludf.DUMMYFUNCTION("IF(OR(A659="""",F659=""""),"""",TEXT(WORKDAY(DATE(VALUE(LEFT(TO_TEXT(A659),4)),VALUE(MID(TO_TEXT(A659),5,2)),VALUE(RIGHT(TO_TEXT(A659),2))),F659),""yyyymmdd""))"),"")</f>
        <v/>
      </c>
      <c r="H659" s="34" t="str">
        <f t="shared" si="1"/>
        <v/>
      </c>
      <c r="I659" s="35"/>
      <c r="J659" s="35"/>
      <c r="K659" s="35"/>
    </row>
    <row r="660">
      <c r="A660" s="33"/>
      <c r="G660" s="33" t="str">
        <f>IFERROR(__xludf.DUMMYFUNCTION("IF(OR(A660="""",F660=""""),"""",TEXT(WORKDAY(DATE(VALUE(LEFT(TO_TEXT(A660),4)),VALUE(MID(TO_TEXT(A660),5,2)),VALUE(RIGHT(TO_TEXT(A660),2))),F660),""yyyymmdd""))"),"")</f>
        <v/>
      </c>
      <c r="H660" s="34" t="str">
        <f t="shared" si="1"/>
        <v/>
      </c>
      <c r="I660" s="35"/>
      <c r="J660" s="35"/>
      <c r="K660" s="35"/>
    </row>
    <row r="661">
      <c r="A661" s="33"/>
      <c r="G661" s="33" t="str">
        <f>IFERROR(__xludf.DUMMYFUNCTION("IF(OR(A661="""",F661=""""),"""",TEXT(WORKDAY(DATE(VALUE(LEFT(TO_TEXT(A661),4)),VALUE(MID(TO_TEXT(A661),5,2)),VALUE(RIGHT(TO_TEXT(A661),2))),F661),""yyyymmdd""))"),"")</f>
        <v/>
      </c>
      <c r="H661" s="34" t="str">
        <f t="shared" si="1"/>
        <v/>
      </c>
      <c r="I661" s="35"/>
      <c r="J661" s="35"/>
      <c r="K661" s="35"/>
    </row>
    <row r="662">
      <c r="A662" s="33"/>
      <c r="G662" s="33" t="str">
        <f>IFERROR(__xludf.DUMMYFUNCTION("IF(OR(A662="""",F662=""""),"""",TEXT(WORKDAY(DATE(VALUE(LEFT(TO_TEXT(A662),4)),VALUE(MID(TO_TEXT(A662),5,2)),VALUE(RIGHT(TO_TEXT(A662),2))),F662),""yyyymmdd""))"),"")</f>
        <v/>
      </c>
      <c r="H662" s="34" t="str">
        <f t="shared" si="1"/>
        <v/>
      </c>
      <c r="I662" s="35"/>
      <c r="J662" s="35"/>
      <c r="K662" s="35"/>
    </row>
    <row r="663">
      <c r="A663" s="33"/>
      <c r="G663" s="33" t="str">
        <f>IFERROR(__xludf.DUMMYFUNCTION("IF(OR(A663="""",F663=""""),"""",TEXT(WORKDAY(DATE(VALUE(LEFT(TO_TEXT(A663),4)),VALUE(MID(TO_TEXT(A663),5,2)),VALUE(RIGHT(TO_TEXT(A663),2))),F663),""yyyymmdd""))"),"")</f>
        <v/>
      </c>
      <c r="H663" s="34" t="str">
        <f t="shared" si="1"/>
        <v/>
      </c>
      <c r="I663" s="35"/>
      <c r="J663" s="35"/>
      <c r="K663" s="35"/>
    </row>
    <row r="664">
      <c r="A664" s="33"/>
      <c r="G664" s="33" t="str">
        <f>IFERROR(__xludf.DUMMYFUNCTION("IF(OR(A664="""",F664=""""),"""",TEXT(WORKDAY(DATE(VALUE(LEFT(TO_TEXT(A664),4)),VALUE(MID(TO_TEXT(A664),5,2)),VALUE(RIGHT(TO_TEXT(A664),2))),F664),""yyyymmdd""))"),"")</f>
        <v/>
      </c>
      <c r="H664" s="34" t="str">
        <f t="shared" si="1"/>
        <v/>
      </c>
      <c r="I664" s="35"/>
      <c r="J664" s="35"/>
      <c r="K664" s="35"/>
    </row>
    <row r="665">
      <c r="A665" s="33"/>
      <c r="G665" s="33" t="str">
        <f>IFERROR(__xludf.DUMMYFUNCTION("IF(OR(A665="""",F665=""""),"""",TEXT(WORKDAY(DATE(VALUE(LEFT(TO_TEXT(A665),4)),VALUE(MID(TO_TEXT(A665),5,2)),VALUE(RIGHT(TO_TEXT(A665),2))),F665),""yyyymmdd""))"),"")</f>
        <v/>
      </c>
      <c r="H665" s="34" t="str">
        <f t="shared" si="1"/>
        <v/>
      </c>
      <c r="I665" s="35"/>
      <c r="J665" s="35"/>
      <c r="K665" s="35"/>
    </row>
    <row r="666">
      <c r="A666" s="33"/>
      <c r="G666" s="33" t="str">
        <f>IFERROR(__xludf.DUMMYFUNCTION("IF(OR(A666="""",F666=""""),"""",TEXT(WORKDAY(DATE(VALUE(LEFT(TO_TEXT(A666),4)),VALUE(MID(TO_TEXT(A666),5,2)),VALUE(RIGHT(TO_TEXT(A666),2))),F666),""yyyymmdd""))"),"")</f>
        <v/>
      </c>
      <c r="H666" s="34" t="str">
        <f t="shared" si="1"/>
        <v/>
      </c>
      <c r="I666" s="35"/>
      <c r="J666" s="35"/>
      <c r="K666" s="35"/>
    </row>
    <row r="667">
      <c r="A667" s="33"/>
      <c r="G667" s="33" t="str">
        <f>IFERROR(__xludf.DUMMYFUNCTION("IF(OR(A667="""",F667=""""),"""",TEXT(WORKDAY(DATE(VALUE(LEFT(TO_TEXT(A667),4)),VALUE(MID(TO_TEXT(A667),5,2)),VALUE(RIGHT(TO_TEXT(A667),2))),F667),""yyyymmdd""))"),"")</f>
        <v/>
      </c>
      <c r="H667" s="34" t="str">
        <f t="shared" si="1"/>
        <v/>
      </c>
      <c r="I667" s="35"/>
      <c r="J667" s="35"/>
      <c r="K667" s="35"/>
    </row>
    <row r="668">
      <c r="A668" s="33"/>
      <c r="G668" s="33" t="str">
        <f>IFERROR(__xludf.DUMMYFUNCTION("IF(OR(A668="""",F668=""""),"""",TEXT(WORKDAY(DATE(VALUE(LEFT(TO_TEXT(A668),4)),VALUE(MID(TO_TEXT(A668),5,2)),VALUE(RIGHT(TO_TEXT(A668),2))),F668),""yyyymmdd""))"),"")</f>
        <v/>
      </c>
      <c r="H668" s="34" t="str">
        <f t="shared" si="1"/>
        <v/>
      </c>
      <c r="I668" s="35"/>
      <c r="J668" s="35"/>
      <c r="K668" s="35"/>
    </row>
    <row r="669">
      <c r="A669" s="33"/>
      <c r="G669" s="33" t="str">
        <f>IFERROR(__xludf.DUMMYFUNCTION("IF(OR(A669="""",F669=""""),"""",TEXT(WORKDAY(DATE(VALUE(LEFT(TO_TEXT(A669),4)),VALUE(MID(TO_TEXT(A669),5,2)),VALUE(RIGHT(TO_TEXT(A669),2))),F669),""yyyymmdd""))"),"")</f>
        <v/>
      </c>
      <c r="H669" s="34" t="str">
        <f t="shared" si="1"/>
        <v/>
      </c>
      <c r="I669" s="35"/>
      <c r="J669" s="35"/>
      <c r="K669" s="35"/>
    </row>
    <row r="670">
      <c r="A670" s="33"/>
      <c r="G670" s="33" t="str">
        <f>IFERROR(__xludf.DUMMYFUNCTION("IF(OR(A670="""",F670=""""),"""",TEXT(WORKDAY(DATE(VALUE(LEFT(TO_TEXT(A670),4)),VALUE(MID(TO_TEXT(A670),5,2)),VALUE(RIGHT(TO_TEXT(A670),2))),F670),""yyyymmdd""))"),"")</f>
        <v/>
      </c>
      <c r="H670" s="34" t="str">
        <f t="shared" si="1"/>
        <v/>
      </c>
      <c r="I670" s="35"/>
      <c r="J670" s="35"/>
      <c r="K670" s="35"/>
    </row>
    <row r="671">
      <c r="A671" s="33"/>
      <c r="G671" s="33" t="str">
        <f>IFERROR(__xludf.DUMMYFUNCTION("IF(OR(A671="""",F671=""""),"""",TEXT(WORKDAY(DATE(VALUE(LEFT(TO_TEXT(A671),4)),VALUE(MID(TO_TEXT(A671),5,2)),VALUE(RIGHT(TO_TEXT(A671),2))),F671),""yyyymmdd""))"),"")</f>
        <v/>
      </c>
      <c r="H671" s="34" t="str">
        <f t="shared" si="1"/>
        <v/>
      </c>
      <c r="I671" s="35"/>
      <c r="J671" s="35"/>
      <c r="K671" s="35"/>
    </row>
    <row r="672">
      <c r="A672" s="33"/>
      <c r="G672" s="33" t="str">
        <f>IFERROR(__xludf.DUMMYFUNCTION("IF(OR(A672="""",F672=""""),"""",TEXT(WORKDAY(DATE(VALUE(LEFT(TO_TEXT(A672),4)),VALUE(MID(TO_TEXT(A672),5,2)),VALUE(RIGHT(TO_TEXT(A672),2))),F672),""yyyymmdd""))"),"")</f>
        <v/>
      </c>
      <c r="H672" s="34" t="str">
        <f t="shared" si="1"/>
        <v/>
      </c>
      <c r="I672" s="35"/>
      <c r="J672" s="35"/>
      <c r="K672" s="35"/>
    </row>
    <row r="673">
      <c r="A673" s="33"/>
      <c r="G673" s="33" t="str">
        <f>IFERROR(__xludf.DUMMYFUNCTION("IF(OR(A673="""",F673=""""),"""",TEXT(WORKDAY(DATE(VALUE(LEFT(TO_TEXT(A673),4)),VALUE(MID(TO_TEXT(A673),5,2)),VALUE(RIGHT(TO_TEXT(A673),2))),F673),""yyyymmdd""))"),"")</f>
        <v/>
      </c>
      <c r="H673" s="34" t="str">
        <f t="shared" si="1"/>
        <v/>
      </c>
      <c r="I673" s="35"/>
      <c r="J673" s="35"/>
      <c r="K673" s="35"/>
    </row>
    <row r="674">
      <c r="A674" s="33"/>
      <c r="G674" s="33" t="str">
        <f>IFERROR(__xludf.DUMMYFUNCTION("IF(OR(A674="""",F674=""""),"""",TEXT(WORKDAY(DATE(VALUE(LEFT(TO_TEXT(A674),4)),VALUE(MID(TO_TEXT(A674),5,2)),VALUE(RIGHT(TO_TEXT(A674),2))),F674),""yyyymmdd""))"),"")</f>
        <v/>
      </c>
      <c r="H674" s="34" t="str">
        <f t="shared" si="1"/>
        <v/>
      </c>
      <c r="I674" s="35"/>
      <c r="J674" s="35"/>
      <c r="K674" s="35"/>
    </row>
    <row r="675">
      <c r="A675" s="33"/>
      <c r="G675" s="33" t="str">
        <f>IFERROR(__xludf.DUMMYFUNCTION("IF(OR(A675="""",F675=""""),"""",TEXT(WORKDAY(DATE(VALUE(LEFT(TO_TEXT(A675),4)),VALUE(MID(TO_TEXT(A675),5,2)),VALUE(RIGHT(TO_TEXT(A675),2))),F675),""yyyymmdd""))"),"")</f>
        <v/>
      </c>
      <c r="H675" s="34" t="str">
        <f t="shared" si="1"/>
        <v/>
      </c>
      <c r="I675" s="35"/>
      <c r="J675" s="35"/>
      <c r="K675" s="35"/>
    </row>
    <row r="676">
      <c r="A676" s="33"/>
      <c r="G676" s="33" t="str">
        <f>IFERROR(__xludf.DUMMYFUNCTION("IF(OR(A676="""",F676=""""),"""",TEXT(WORKDAY(DATE(VALUE(LEFT(TO_TEXT(A676),4)),VALUE(MID(TO_TEXT(A676),5,2)),VALUE(RIGHT(TO_TEXT(A676),2))),F676),""yyyymmdd""))"),"")</f>
        <v/>
      </c>
      <c r="H676" s="34" t="str">
        <f t="shared" si="1"/>
        <v/>
      </c>
      <c r="I676" s="35"/>
      <c r="J676" s="35"/>
      <c r="K676" s="35"/>
    </row>
    <row r="677">
      <c r="A677" s="33"/>
      <c r="G677" s="33" t="str">
        <f>IFERROR(__xludf.DUMMYFUNCTION("IF(OR(A677="""",F677=""""),"""",TEXT(WORKDAY(DATE(VALUE(LEFT(TO_TEXT(A677),4)),VALUE(MID(TO_TEXT(A677),5,2)),VALUE(RIGHT(TO_TEXT(A677),2))),F677),""yyyymmdd""))"),"")</f>
        <v/>
      </c>
      <c r="H677" s="34" t="str">
        <f t="shared" si="1"/>
        <v/>
      </c>
      <c r="I677" s="35"/>
      <c r="J677" s="35"/>
      <c r="K677" s="35"/>
    </row>
    <row r="678">
      <c r="A678" s="33"/>
      <c r="G678" s="33" t="str">
        <f>IFERROR(__xludf.DUMMYFUNCTION("IF(OR(A678="""",F678=""""),"""",TEXT(WORKDAY(DATE(VALUE(LEFT(TO_TEXT(A678),4)),VALUE(MID(TO_TEXT(A678),5,2)),VALUE(RIGHT(TO_TEXT(A678),2))),F678),""yyyymmdd""))"),"")</f>
        <v/>
      </c>
      <c r="H678" s="34" t="str">
        <f t="shared" si="1"/>
        <v/>
      </c>
      <c r="I678" s="35"/>
      <c r="J678" s="35"/>
      <c r="K678" s="35"/>
    </row>
    <row r="679">
      <c r="A679" s="33"/>
      <c r="G679" s="33" t="str">
        <f>IFERROR(__xludf.DUMMYFUNCTION("IF(OR(A679="""",F679=""""),"""",TEXT(WORKDAY(DATE(VALUE(LEFT(TO_TEXT(A679),4)),VALUE(MID(TO_TEXT(A679),5,2)),VALUE(RIGHT(TO_TEXT(A679),2))),F679),""yyyymmdd""))"),"")</f>
        <v/>
      </c>
      <c r="H679" s="34" t="str">
        <f t="shared" si="1"/>
        <v/>
      </c>
      <c r="I679" s="35"/>
      <c r="J679" s="35"/>
      <c r="K679" s="35"/>
    </row>
    <row r="680">
      <c r="A680" s="33"/>
      <c r="G680" s="33" t="str">
        <f>IFERROR(__xludf.DUMMYFUNCTION("IF(OR(A680="""",F680=""""),"""",TEXT(WORKDAY(DATE(VALUE(LEFT(TO_TEXT(A680),4)),VALUE(MID(TO_TEXT(A680),5,2)),VALUE(RIGHT(TO_TEXT(A680),2))),F680),""yyyymmdd""))"),"")</f>
        <v/>
      </c>
      <c r="H680" s="34" t="str">
        <f t="shared" si="1"/>
        <v/>
      </c>
      <c r="I680" s="35"/>
      <c r="J680" s="35"/>
      <c r="K680" s="35"/>
    </row>
    <row r="681">
      <c r="A681" s="33"/>
      <c r="G681" s="33" t="str">
        <f>IFERROR(__xludf.DUMMYFUNCTION("IF(OR(A681="""",F681=""""),"""",TEXT(WORKDAY(DATE(VALUE(LEFT(TO_TEXT(A681),4)),VALUE(MID(TO_TEXT(A681),5,2)),VALUE(RIGHT(TO_TEXT(A681),2))),F681),""yyyymmdd""))"),"")</f>
        <v/>
      </c>
      <c r="H681" s="34" t="str">
        <f t="shared" si="1"/>
        <v/>
      </c>
      <c r="I681" s="35"/>
      <c r="J681" s="35"/>
      <c r="K681" s="35"/>
    </row>
    <row r="682">
      <c r="A682" s="33"/>
      <c r="G682" s="33" t="str">
        <f>IFERROR(__xludf.DUMMYFUNCTION("IF(OR(A682="""",F682=""""),"""",TEXT(WORKDAY(DATE(VALUE(LEFT(TO_TEXT(A682),4)),VALUE(MID(TO_TEXT(A682),5,2)),VALUE(RIGHT(TO_TEXT(A682),2))),F682),""yyyymmdd""))"),"")</f>
        <v/>
      </c>
      <c r="H682" s="34" t="str">
        <f t="shared" si="1"/>
        <v/>
      </c>
      <c r="I682" s="35"/>
      <c r="J682" s="35"/>
      <c r="K682" s="35"/>
    </row>
    <row r="683">
      <c r="A683" s="33"/>
      <c r="G683" s="33" t="str">
        <f>IFERROR(__xludf.DUMMYFUNCTION("IF(OR(A683="""",F683=""""),"""",TEXT(WORKDAY(DATE(VALUE(LEFT(TO_TEXT(A683),4)),VALUE(MID(TO_TEXT(A683),5,2)),VALUE(RIGHT(TO_TEXT(A683),2))),F683),""yyyymmdd""))"),"")</f>
        <v/>
      </c>
      <c r="H683" s="34" t="str">
        <f t="shared" si="1"/>
        <v/>
      </c>
      <c r="I683" s="35"/>
      <c r="J683" s="35"/>
      <c r="K683" s="35"/>
    </row>
    <row r="684">
      <c r="A684" s="33"/>
      <c r="G684" s="33" t="str">
        <f>IFERROR(__xludf.DUMMYFUNCTION("IF(OR(A684="""",F684=""""),"""",TEXT(WORKDAY(DATE(VALUE(LEFT(TO_TEXT(A684),4)),VALUE(MID(TO_TEXT(A684),5,2)),VALUE(RIGHT(TO_TEXT(A684),2))),F684),""yyyymmdd""))"),"")</f>
        <v/>
      </c>
      <c r="H684" s="34" t="str">
        <f t="shared" si="1"/>
        <v/>
      </c>
      <c r="I684" s="35"/>
      <c r="J684" s="35"/>
      <c r="K684" s="35"/>
    </row>
    <row r="685">
      <c r="A685" s="33"/>
      <c r="G685" s="33" t="str">
        <f>IFERROR(__xludf.DUMMYFUNCTION("IF(OR(A685="""",F685=""""),"""",TEXT(WORKDAY(DATE(VALUE(LEFT(TO_TEXT(A685),4)),VALUE(MID(TO_TEXT(A685),5,2)),VALUE(RIGHT(TO_TEXT(A685),2))),F685),""yyyymmdd""))"),"")</f>
        <v/>
      </c>
      <c r="H685" s="34" t="str">
        <f t="shared" si="1"/>
        <v/>
      </c>
      <c r="I685" s="35"/>
      <c r="J685" s="35"/>
      <c r="K685" s="35"/>
    </row>
    <row r="686">
      <c r="A686" s="33"/>
      <c r="G686" s="33" t="str">
        <f>IFERROR(__xludf.DUMMYFUNCTION("IF(OR(A686="""",F686=""""),"""",TEXT(WORKDAY(DATE(VALUE(LEFT(TO_TEXT(A686),4)),VALUE(MID(TO_TEXT(A686),5,2)),VALUE(RIGHT(TO_TEXT(A686),2))),F686),""yyyymmdd""))"),"")</f>
        <v/>
      </c>
      <c r="H686" s="34" t="str">
        <f t="shared" si="1"/>
        <v/>
      </c>
      <c r="I686" s="35"/>
      <c r="J686" s="35"/>
      <c r="K686" s="35"/>
    </row>
    <row r="687">
      <c r="A687" s="33"/>
      <c r="G687" s="33" t="str">
        <f>IFERROR(__xludf.DUMMYFUNCTION("IF(OR(A687="""",F687=""""),"""",TEXT(WORKDAY(DATE(VALUE(LEFT(TO_TEXT(A687),4)),VALUE(MID(TO_TEXT(A687),5,2)),VALUE(RIGHT(TO_TEXT(A687),2))),F687),""yyyymmdd""))"),"")</f>
        <v/>
      </c>
      <c r="H687" s="34" t="str">
        <f t="shared" si="1"/>
        <v/>
      </c>
      <c r="I687" s="35"/>
      <c r="J687" s="35"/>
      <c r="K687" s="35"/>
    </row>
    <row r="688">
      <c r="A688" s="33"/>
      <c r="G688" s="33" t="str">
        <f>IFERROR(__xludf.DUMMYFUNCTION("IF(OR(A688="""",F688=""""),"""",TEXT(WORKDAY(DATE(VALUE(LEFT(TO_TEXT(A688),4)),VALUE(MID(TO_TEXT(A688),5,2)),VALUE(RIGHT(TO_TEXT(A688),2))),F688),""yyyymmdd""))"),"")</f>
        <v/>
      </c>
      <c r="H688" s="34" t="str">
        <f t="shared" si="1"/>
        <v/>
      </c>
      <c r="I688" s="35"/>
      <c r="J688" s="35"/>
      <c r="K688" s="35"/>
    </row>
    <row r="689">
      <c r="A689" s="33"/>
      <c r="G689" s="33" t="str">
        <f>IFERROR(__xludf.DUMMYFUNCTION("IF(OR(A689="""",F689=""""),"""",TEXT(WORKDAY(DATE(VALUE(LEFT(TO_TEXT(A689),4)),VALUE(MID(TO_TEXT(A689),5,2)),VALUE(RIGHT(TO_TEXT(A689),2))),F689),""yyyymmdd""))"),"")</f>
        <v/>
      </c>
      <c r="H689" s="34" t="str">
        <f t="shared" si="1"/>
        <v/>
      </c>
      <c r="I689" s="35"/>
      <c r="J689" s="35"/>
      <c r="K689" s="35"/>
    </row>
    <row r="690">
      <c r="A690" s="33"/>
      <c r="G690" s="33" t="str">
        <f>IFERROR(__xludf.DUMMYFUNCTION("IF(OR(A690="""",F690=""""),"""",TEXT(WORKDAY(DATE(VALUE(LEFT(TO_TEXT(A690),4)),VALUE(MID(TO_TEXT(A690),5,2)),VALUE(RIGHT(TO_TEXT(A690),2))),F690),""yyyymmdd""))"),"")</f>
        <v/>
      </c>
      <c r="H690" s="34" t="str">
        <f t="shared" si="1"/>
        <v/>
      </c>
      <c r="I690" s="35"/>
      <c r="J690" s="35"/>
      <c r="K690" s="35"/>
    </row>
    <row r="691">
      <c r="A691" s="33"/>
      <c r="G691" s="33" t="str">
        <f>IFERROR(__xludf.DUMMYFUNCTION("IF(OR(A691="""",F691=""""),"""",TEXT(WORKDAY(DATE(VALUE(LEFT(TO_TEXT(A691),4)),VALUE(MID(TO_TEXT(A691),5,2)),VALUE(RIGHT(TO_TEXT(A691),2))),F691),""yyyymmdd""))"),"")</f>
        <v/>
      </c>
      <c r="H691" s="34" t="str">
        <f t="shared" si="1"/>
        <v/>
      </c>
      <c r="I691" s="35"/>
      <c r="J691" s="35"/>
      <c r="K691" s="35"/>
    </row>
    <row r="692">
      <c r="A692" s="33"/>
      <c r="G692" s="33" t="str">
        <f>IFERROR(__xludf.DUMMYFUNCTION("IF(OR(A692="""",F692=""""),"""",TEXT(WORKDAY(DATE(VALUE(LEFT(TO_TEXT(A692),4)),VALUE(MID(TO_TEXT(A692),5,2)),VALUE(RIGHT(TO_TEXT(A692),2))),F692),""yyyymmdd""))"),"")</f>
        <v/>
      </c>
      <c r="H692" s="34" t="str">
        <f t="shared" si="1"/>
        <v/>
      </c>
      <c r="I692" s="35"/>
      <c r="J692" s="35"/>
      <c r="K692" s="35"/>
    </row>
    <row r="693">
      <c r="A693" s="33"/>
      <c r="G693" s="33" t="str">
        <f>IFERROR(__xludf.DUMMYFUNCTION("IF(OR(A693="""",F693=""""),"""",TEXT(WORKDAY(DATE(VALUE(LEFT(TO_TEXT(A693),4)),VALUE(MID(TO_TEXT(A693),5,2)),VALUE(RIGHT(TO_TEXT(A693),2))),F693),""yyyymmdd""))"),"")</f>
        <v/>
      </c>
      <c r="H693" s="34" t="str">
        <f t="shared" si="1"/>
        <v/>
      </c>
      <c r="I693" s="35"/>
      <c r="J693" s="35"/>
      <c r="K693" s="35"/>
    </row>
    <row r="694">
      <c r="A694" s="33"/>
      <c r="G694" s="33" t="str">
        <f>IFERROR(__xludf.DUMMYFUNCTION("IF(OR(A694="""",F694=""""),"""",TEXT(WORKDAY(DATE(VALUE(LEFT(TO_TEXT(A694),4)),VALUE(MID(TO_TEXT(A694),5,2)),VALUE(RIGHT(TO_TEXT(A694),2))),F694),""yyyymmdd""))"),"")</f>
        <v/>
      </c>
      <c r="H694" s="34" t="str">
        <f t="shared" si="1"/>
        <v/>
      </c>
      <c r="I694" s="35"/>
      <c r="J694" s="35"/>
      <c r="K694" s="35"/>
    </row>
    <row r="695">
      <c r="A695" s="33"/>
      <c r="G695" s="33" t="str">
        <f>IFERROR(__xludf.DUMMYFUNCTION("IF(OR(A695="""",F695=""""),"""",TEXT(WORKDAY(DATE(VALUE(LEFT(TO_TEXT(A695),4)),VALUE(MID(TO_TEXT(A695),5,2)),VALUE(RIGHT(TO_TEXT(A695),2))),F695),""yyyymmdd""))"),"")</f>
        <v/>
      </c>
      <c r="H695" s="34" t="str">
        <f t="shared" si="1"/>
        <v/>
      </c>
      <c r="I695" s="35"/>
      <c r="J695" s="35"/>
      <c r="K695" s="35"/>
    </row>
    <row r="696">
      <c r="A696" s="33"/>
      <c r="G696" s="33" t="str">
        <f>IFERROR(__xludf.DUMMYFUNCTION("IF(OR(A696="""",F696=""""),"""",TEXT(WORKDAY(DATE(VALUE(LEFT(TO_TEXT(A696),4)),VALUE(MID(TO_TEXT(A696),5,2)),VALUE(RIGHT(TO_TEXT(A696),2))),F696),""yyyymmdd""))"),"")</f>
        <v/>
      </c>
      <c r="H696" s="34" t="str">
        <f t="shared" si="1"/>
        <v/>
      </c>
      <c r="I696" s="35"/>
      <c r="J696" s="35"/>
      <c r="K696" s="35"/>
    </row>
    <row r="697">
      <c r="A697" s="33"/>
      <c r="G697" s="33" t="str">
        <f>IFERROR(__xludf.DUMMYFUNCTION("IF(OR(A697="""",F697=""""),"""",TEXT(WORKDAY(DATE(VALUE(LEFT(TO_TEXT(A697),4)),VALUE(MID(TO_TEXT(A697),5,2)),VALUE(RIGHT(TO_TEXT(A697),2))),F697),""yyyymmdd""))"),"")</f>
        <v/>
      </c>
      <c r="H697" s="34" t="str">
        <f t="shared" si="1"/>
        <v/>
      </c>
      <c r="I697" s="35"/>
      <c r="J697" s="35"/>
      <c r="K697" s="35"/>
    </row>
    <row r="698">
      <c r="A698" s="33"/>
      <c r="G698" s="33" t="str">
        <f>IFERROR(__xludf.DUMMYFUNCTION("IF(OR(A698="""",F698=""""),"""",TEXT(WORKDAY(DATE(VALUE(LEFT(TO_TEXT(A698),4)),VALUE(MID(TO_TEXT(A698),5,2)),VALUE(RIGHT(TO_TEXT(A698),2))),F698),""yyyymmdd""))"),"")</f>
        <v/>
      </c>
      <c r="H698" s="34" t="str">
        <f t="shared" si="1"/>
        <v/>
      </c>
      <c r="I698" s="35"/>
      <c r="J698" s="35"/>
      <c r="K698" s="35"/>
    </row>
    <row r="699">
      <c r="A699" s="33"/>
      <c r="G699" s="33" t="str">
        <f>IFERROR(__xludf.DUMMYFUNCTION("IF(OR(A699="""",F699=""""),"""",TEXT(WORKDAY(DATE(VALUE(LEFT(TO_TEXT(A699),4)),VALUE(MID(TO_TEXT(A699),5,2)),VALUE(RIGHT(TO_TEXT(A699),2))),F699),""yyyymmdd""))"),"")</f>
        <v/>
      </c>
      <c r="H699" s="34" t="str">
        <f t="shared" si="1"/>
        <v/>
      </c>
      <c r="I699" s="35"/>
      <c r="J699" s="35"/>
      <c r="K699" s="35"/>
    </row>
    <row r="700">
      <c r="A700" s="33"/>
      <c r="G700" s="33" t="str">
        <f>IFERROR(__xludf.DUMMYFUNCTION("IF(OR(A700="""",F700=""""),"""",TEXT(WORKDAY(DATE(VALUE(LEFT(TO_TEXT(A700),4)),VALUE(MID(TO_TEXT(A700),5,2)),VALUE(RIGHT(TO_TEXT(A700),2))),F700),""yyyymmdd""))"),"")</f>
        <v/>
      </c>
      <c r="H700" s="34" t="str">
        <f t="shared" si="1"/>
        <v/>
      </c>
      <c r="I700" s="35"/>
      <c r="J700" s="35"/>
      <c r="K700" s="35"/>
    </row>
    <row r="701">
      <c r="A701" s="33"/>
      <c r="G701" s="33" t="str">
        <f>IFERROR(__xludf.DUMMYFUNCTION("IF(OR(A701="""",F701=""""),"""",TEXT(WORKDAY(DATE(VALUE(LEFT(TO_TEXT(A701),4)),VALUE(MID(TO_TEXT(A701),5,2)),VALUE(RIGHT(TO_TEXT(A701),2))),F701),""yyyymmdd""))"),"")</f>
        <v/>
      </c>
      <c r="H701" s="34" t="str">
        <f t="shared" si="1"/>
        <v/>
      </c>
      <c r="I701" s="35"/>
      <c r="J701" s="35"/>
      <c r="K701" s="35"/>
    </row>
    <row r="702">
      <c r="A702" s="33"/>
      <c r="G702" s="33" t="str">
        <f>IFERROR(__xludf.DUMMYFUNCTION("IF(OR(A702="""",F702=""""),"""",TEXT(WORKDAY(DATE(VALUE(LEFT(TO_TEXT(A702),4)),VALUE(MID(TO_TEXT(A702),5,2)),VALUE(RIGHT(TO_TEXT(A702),2))),F702),""yyyymmdd""))"),"")</f>
        <v/>
      </c>
      <c r="H702" s="34" t="str">
        <f t="shared" si="1"/>
        <v/>
      </c>
      <c r="I702" s="35"/>
      <c r="J702" s="35"/>
      <c r="K702" s="35"/>
    </row>
    <row r="703">
      <c r="A703" s="33"/>
      <c r="G703" s="33" t="str">
        <f>IFERROR(__xludf.DUMMYFUNCTION("IF(OR(A703="""",F703=""""),"""",TEXT(WORKDAY(DATE(VALUE(LEFT(TO_TEXT(A703),4)),VALUE(MID(TO_TEXT(A703),5,2)),VALUE(RIGHT(TO_TEXT(A703),2))),F703),""yyyymmdd""))"),"")</f>
        <v/>
      </c>
      <c r="H703" s="34" t="str">
        <f t="shared" si="1"/>
        <v/>
      </c>
      <c r="I703" s="35"/>
      <c r="J703" s="35"/>
      <c r="K703" s="35"/>
    </row>
    <row r="704">
      <c r="A704" s="33"/>
      <c r="G704" s="33" t="str">
        <f>IFERROR(__xludf.DUMMYFUNCTION("IF(OR(A704="""",F704=""""),"""",TEXT(WORKDAY(DATE(VALUE(LEFT(TO_TEXT(A704),4)),VALUE(MID(TO_TEXT(A704),5,2)),VALUE(RIGHT(TO_TEXT(A704),2))),F704),""yyyymmdd""))"),"")</f>
        <v/>
      </c>
      <c r="H704" s="34" t="str">
        <f t="shared" si="1"/>
        <v/>
      </c>
      <c r="I704" s="35"/>
      <c r="J704" s="35"/>
      <c r="K704" s="35"/>
    </row>
    <row r="705">
      <c r="A705" s="33"/>
      <c r="G705" s="33" t="str">
        <f>IFERROR(__xludf.DUMMYFUNCTION("IF(OR(A705="""",F705=""""),"""",TEXT(WORKDAY(DATE(VALUE(LEFT(TO_TEXT(A705),4)),VALUE(MID(TO_TEXT(A705),5,2)),VALUE(RIGHT(TO_TEXT(A705),2))),F705),""yyyymmdd""))"),"")</f>
        <v/>
      </c>
      <c r="H705" s="34" t="str">
        <f t="shared" si="1"/>
        <v/>
      </c>
      <c r="I705" s="35"/>
      <c r="J705" s="35"/>
      <c r="K705" s="35"/>
    </row>
    <row r="706">
      <c r="A706" s="33"/>
      <c r="G706" s="33" t="str">
        <f>IFERROR(__xludf.DUMMYFUNCTION("IF(OR(A706="""",F706=""""),"""",TEXT(WORKDAY(DATE(VALUE(LEFT(TO_TEXT(A706),4)),VALUE(MID(TO_TEXT(A706),5,2)),VALUE(RIGHT(TO_TEXT(A706),2))),F706),""yyyymmdd""))"),"")</f>
        <v/>
      </c>
      <c r="H706" s="34" t="str">
        <f t="shared" si="1"/>
        <v/>
      </c>
      <c r="I706" s="35"/>
      <c r="J706" s="35"/>
      <c r="K706" s="35"/>
    </row>
    <row r="707">
      <c r="A707" s="33"/>
      <c r="G707" s="33" t="str">
        <f>IFERROR(__xludf.DUMMYFUNCTION("IF(OR(A707="""",F707=""""),"""",TEXT(WORKDAY(DATE(VALUE(LEFT(TO_TEXT(A707),4)),VALUE(MID(TO_TEXT(A707),5,2)),VALUE(RIGHT(TO_TEXT(A707),2))),F707),""yyyymmdd""))"),"")</f>
        <v/>
      </c>
      <c r="H707" s="34" t="str">
        <f t="shared" si="1"/>
        <v/>
      </c>
      <c r="I707" s="35"/>
      <c r="J707" s="35"/>
      <c r="K707" s="35"/>
    </row>
    <row r="708">
      <c r="A708" s="33"/>
      <c r="G708" s="33" t="str">
        <f>IFERROR(__xludf.DUMMYFUNCTION("IF(OR(A708="""",F708=""""),"""",TEXT(WORKDAY(DATE(VALUE(LEFT(TO_TEXT(A708),4)),VALUE(MID(TO_TEXT(A708),5,2)),VALUE(RIGHT(TO_TEXT(A708),2))),F708),""yyyymmdd""))"),"")</f>
        <v/>
      </c>
      <c r="H708" s="34" t="str">
        <f t="shared" si="1"/>
        <v/>
      </c>
      <c r="I708" s="35"/>
      <c r="J708" s="35"/>
      <c r="K708" s="35"/>
    </row>
    <row r="709">
      <c r="A709" s="33"/>
      <c r="G709" s="33" t="str">
        <f>IFERROR(__xludf.DUMMYFUNCTION("IF(OR(A709="""",F709=""""),"""",TEXT(WORKDAY(DATE(VALUE(LEFT(TO_TEXT(A709),4)),VALUE(MID(TO_TEXT(A709),5,2)),VALUE(RIGHT(TO_TEXT(A709),2))),F709),""yyyymmdd""))"),"")</f>
        <v/>
      </c>
      <c r="H709" s="34" t="str">
        <f t="shared" si="1"/>
        <v/>
      </c>
      <c r="I709" s="35"/>
      <c r="J709" s="35"/>
      <c r="K709" s="35"/>
    </row>
    <row r="710">
      <c r="A710" s="33"/>
      <c r="G710" s="33" t="str">
        <f>IFERROR(__xludf.DUMMYFUNCTION("IF(OR(A710="""",F710=""""),"""",TEXT(WORKDAY(DATE(VALUE(LEFT(TO_TEXT(A710),4)),VALUE(MID(TO_TEXT(A710),5,2)),VALUE(RIGHT(TO_TEXT(A710),2))),F710),""yyyymmdd""))"),"")</f>
        <v/>
      </c>
      <c r="H710" s="34" t="str">
        <f t="shared" si="1"/>
        <v/>
      </c>
      <c r="I710" s="35"/>
      <c r="J710" s="35"/>
      <c r="K710" s="35"/>
    </row>
    <row r="711">
      <c r="A711" s="33"/>
      <c r="G711" s="33" t="str">
        <f>IFERROR(__xludf.DUMMYFUNCTION("IF(OR(A711="""",F711=""""),"""",TEXT(WORKDAY(DATE(VALUE(LEFT(TO_TEXT(A711),4)),VALUE(MID(TO_TEXT(A711),5,2)),VALUE(RIGHT(TO_TEXT(A711),2))),F711),""yyyymmdd""))"),"")</f>
        <v/>
      </c>
      <c r="H711" s="34" t="str">
        <f t="shared" si="1"/>
        <v/>
      </c>
      <c r="I711" s="35"/>
      <c r="J711" s="35"/>
      <c r="K711" s="35"/>
    </row>
    <row r="712">
      <c r="A712" s="33"/>
      <c r="G712" s="33" t="str">
        <f>IFERROR(__xludf.DUMMYFUNCTION("IF(OR(A712="""",F712=""""),"""",TEXT(WORKDAY(DATE(VALUE(LEFT(TO_TEXT(A712),4)),VALUE(MID(TO_TEXT(A712),5,2)),VALUE(RIGHT(TO_TEXT(A712),2))),F712),""yyyymmdd""))"),"")</f>
        <v/>
      </c>
      <c r="H712" s="34" t="str">
        <f t="shared" si="1"/>
        <v/>
      </c>
      <c r="I712" s="35"/>
      <c r="J712" s="35"/>
      <c r="K712" s="35"/>
    </row>
    <row r="713">
      <c r="A713" s="33"/>
      <c r="G713" s="33" t="str">
        <f>IFERROR(__xludf.DUMMYFUNCTION("IF(OR(A713="""",F713=""""),"""",TEXT(WORKDAY(DATE(VALUE(LEFT(TO_TEXT(A713),4)),VALUE(MID(TO_TEXT(A713),5,2)),VALUE(RIGHT(TO_TEXT(A713),2))),F713),""yyyymmdd""))"),"")</f>
        <v/>
      </c>
      <c r="H713" s="34" t="str">
        <f t="shared" si="1"/>
        <v/>
      </c>
      <c r="I713" s="35"/>
      <c r="J713" s="35"/>
      <c r="K713" s="35"/>
    </row>
    <row r="714">
      <c r="A714" s="33"/>
      <c r="G714" s="33" t="str">
        <f>IFERROR(__xludf.DUMMYFUNCTION("IF(OR(A714="""",F714=""""),"""",TEXT(WORKDAY(DATE(VALUE(LEFT(TO_TEXT(A714),4)),VALUE(MID(TO_TEXT(A714),5,2)),VALUE(RIGHT(TO_TEXT(A714),2))),F714),""yyyymmdd""))"),"")</f>
        <v/>
      </c>
      <c r="H714" s="34" t="str">
        <f t="shared" si="1"/>
        <v/>
      </c>
      <c r="I714" s="35"/>
      <c r="J714" s="35"/>
      <c r="K714" s="35"/>
    </row>
    <row r="715">
      <c r="A715" s="33"/>
      <c r="G715" s="33" t="str">
        <f>IFERROR(__xludf.DUMMYFUNCTION("IF(OR(A715="""",F715=""""),"""",TEXT(WORKDAY(DATE(VALUE(LEFT(TO_TEXT(A715),4)),VALUE(MID(TO_TEXT(A715),5,2)),VALUE(RIGHT(TO_TEXT(A715),2))),F715),""yyyymmdd""))"),"")</f>
        <v/>
      </c>
      <c r="H715" s="34" t="str">
        <f t="shared" si="1"/>
        <v/>
      </c>
      <c r="I715" s="35"/>
      <c r="J715" s="35"/>
      <c r="K715" s="35"/>
    </row>
    <row r="716">
      <c r="A716" s="33"/>
      <c r="G716" s="33" t="str">
        <f>IFERROR(__xludf.DUMMYFUNCTION("IF(OR(A716="""",F716=""""),"""",TEXT(WORKDAY(DATE(VALUE(LEFT(TO_TEXT(A716),4)),VALUE(MID(TO_TEXT(A716),5,2)),VALUE(RIGHT(TO_TEXT(A716),2))),F716),""yyyymmdd""))"),"")</f>
        <v/>
      </c>
      <c r="H716" s="34" t="str">
        <f t="shared" si="1"/>
        <v/>
      </c>
      <c r="I716" s="35"/>
      <c r="J716" s="35"/>
      <c r="K716" s="35"/>
    </row>
    <row r="717">
      <c r="A717" s="33"/>
      <c r="G717" s="33" t="str">
        <f>IFERROR(__xludf.DUMMYFUNCTION("IF(OR(A717="""",F717=""""),"""",TEXT(WORKDAY(DATE(VALUE(LEFT(TO_TEXT(A717),4)),VALUE(MID(TO_TEXT(A717),5,2)),VALUE(RIGHT(TO_TEXT(A717),2))),F717),""yyyymmdd""))"),"")</f>
        <v/>
      </c>
      <c r="H717" s="34" t="str">
        <f t="shared" si="1"/>
        <v/>
      </c>
      <c r="I717" s="35"/>
      <c r="J717" s="35"/>
      <c r="K717" s="35"/>
    </row>
    <row r="718">
      <c r="A718" s="33"/>
      <c r="G718" s="33" t="str">
        <f>IFERROR(__xludf.DUMMYFUNCTION("IF(OR(A718="""",F718=""""),"""",TEXT(WORKDAY(DATE(VALUE(LEFT(TO_TEXT(A718),4)),VALUE(MID(TO_TEXT(A718),5,2)),VALUE(RIGHT(TO_TEXT(A718),2))),F718),""yyyymmdd""))"),"")</f>
        <v/>
      </c>
      <c r="H718" s="34" t="str">
        <f t="shared" si="1"/>
        <v/>
      </c>
      <c r="I718" s="35"/>
      <c r="J718" s="35"/>
      <c r="K718" s="35"/>
    </row>
    <row r="719">
      <c r="A719" s="33"/>
      <c r="G719" s="33" t="str">
        <f>IFERROR(__xludf.DUMMYFUNCTION("IF(OR(A719="""",F719=""""),"""",TEXT(WORKDAY(DATE(VALUE(LEFT(TO_TEXT(A719),4)),VALUE(MID(TO_TEXT(A719),5,2)),VALUE(RIGHT(TO_TEXT(A719),2))),F719),""yyyymmdd""))"),"")</f>
        <v/>
      </c>
      <c r="H719" s="34" t="str">
        <f t="shared" si="1"/>
        <v/>
      </c>
      <c r="I719" s="35"/>
      <c r="J719" s="35"/>
      <c r="K719" s="35"/>
    </row>
    <row r="720">
      <c r="A720" s="33"/>
      <c r="G720" s="33" t="str">
        <f>IFERROR(__xludf.DUMMYFUNCTION("IF(OR(A720="""",F720=""""),"""",TEXT(WORKDAY(DATE(VALUE(LEFT(TO_TEXT(A720),4)),VALUE(MID(TO_TEXT(A720),5,2)),VALUE(RIGHT(TO_TEXT(A720),2))),F720),""yyyymmdd""))"),"")</f>
        <v/>
      </c>
      <c r="H720" s="34" t="str">
        <f t="shared" si="1"/>
        <v/>
      </c>
      <c r="I720" s="35"/>
      <c r="J720" s="35"/>
      <c r="K720" s="35"/>
    </row>
    <row r="721">
      <c r="A721" s="33"/>
      <c r="G721" s="33" t="str">
        <f>IFERROR(__xludf.DUMMYFUNCTION("IF(OR(A721="""",F721=""""),"""",TEXT(WORKDAY(DATE(VALUE(LEFT(TO_TEXT(A721),4)),VALUE(MID(TO_TEXT(A721),5,2)),VALUE(RIGHT(TO_TEXT(A721),2))),F721),""yyyymmdd""))"),"")</f>
        <v/>
      </c>
      <c r="H721" s="34" t="str">
        <f t="shared" si="1"/>
        <v/>
      </c>
      <c r="I721" s="35"/>
      <c r="J721" s="35"/>
      <c r="K721" s="35"/>
    </row>
    <row r="722">
      <c r="A722" s="33"/>
      <c r="G722" s="33" t="str">
        <f>IFERROR(__xludf.DUMMYFUNCTION("IF(OR(A722="""",F722=""""),"""",TEXT(WORKDAY(DATE(VALUE(LEFT(TO_TEXT(A722),4)),VALUE(MID(TO_TEXT(A722),5,2)),VALUE(RIGHT(TO_TEXT(A722),2))),F722),""yyyymmdd""))"),"")</f>
        <v/>
      </c>
      <c r="H722" s="34" t="str">
        <f t="shared" si="1"/>
        <v/>
      </c>
      <c r="I722" s="35"/>
      <c r="J722" s="35"/>
      <c r="K722" s="35"/>
    </row>
    <row r="723">
      <c r="A723" s="33"/>
      <c r="G723" s="33" t="str">
        <f>IFERROR(__xludf.DUMMYFUNCTION("IF(OR(A723="""",F723=""""),"""",TEXT(WORKDAY(DATE(VALUE(LEFT(TO_TEXT(A723),4)),VALUE(MID(TO_TEXT(A723),5,2)),VALUE(RIGHT(TO_TEXT(A723),2))),F723),""yyyymmdd""))"),"")</f>
        <v/>
      </c>
      <c r="H723" s="34" t="str">
        <f t="shared" si="1"/>
        <v/>
      </c>
      <c r="I723" s="35"/>
      <c r="J723" s="35"/>
      <c r="K723" s="35"/>
    </row>
    <row r="724">
      <c r="A724" s="33"/>
      <c r="G724" s="33" t="str">
        <f>IFERROR(__xludf.DUMMYFUNCTION("IF(OR(A724="""",F724=""""),"""",TEXT(WORKDAY(DATE(VALUE(LEFT(TO_TEXT(A724),4)),VALUE(MID(TO_TEXT(A724),5,2)),VALUE(RIGHT(TO_TEXT(A724),2))),F724),""yyyymmdd""))"),"")</f>
        <v/>
      </c>
      <c r="H724" s="34" t="str">
        <f t="shared" si="1"/>
        <v/>
      </c>
      <c r="I724" s="35"/>
      <c r="J724" s="35"/>
      <c r="K724" s="35"/>
    </row>
    <row r="725">
      <c r="A725" s="33"/>
      <c r="G725" s="33" t="str">
        <f>IFERROR(__xludf.DUMMYFUNCTION("IF(OR(A725="""",F725=""""),"""",TEXT(WORKDAY(DATE(VALUE(LEFT(TO_TEXT(A725),4)),VALUE(MID(TO_TEXT(A725),5,2)),VALUE(RIGHT(TO_TEXT(A725),2))),F725),""yyyymmdd""))"),"")</f>
        <v/>
      </c>
      <c r="H725" s="34" t="str">
        <f t="shared" si="1"/>
        <v/>
      </c>
      <c r="I725" s="35"/>
      <c r="J725" s="35"/>
      <c r="K725" s="35"/>
    </row>
    <row r="726">
      <c r="A726" s="33"/>
      <c r="G726" s="33" t="str">
        <f>IFERROR(__xludf.DUMMYFUNCTION("IF(OR(A726="""",F726=""""),"""",TEXT(WORKDAY(DATE(VALUE(LEFT(TO_TEXT(A726),4)),VALUE(MID(TO_TEXT(A726),5,2)),VALUE(RIGHT(TO_TEXT(A726),2))),F726),""yyyymmdd""))"),"")</f>
        <v/>
      </c>
      <c r="H726" s="34" t="str">
        <f t="shared" si="1"/>
        <v/>
      </c>
      <c r="I726" s="35"/>
      <c r="J726" s="35"/>
      <c r="K726" s="35"/>
    </row>
    <row r="727">
      <c r="A727" s="33"/>
      <c r="G727" s="33" t="str">
        <f>IFERROR(__xludf.DUMMYFUNCTION("IF(OR(A727="""",F727=""""),"""",TEXT(WORKDAY(DATE(VALUE(LEFT(TO_TEXT(A727),4)),VALUE(MID(TO_TEXT(A727),5,2)),VALUE(RIGHT(TO_TEXT(A727),2))),F727),""yyyymmdd""))"),"")</f>
        <v/>
      </c>
      <c r="H727" s="34" t="str">
        <f t="shared" si="1"/>
        <v/>
      </c>
      <c r="I727" s="35"/>
      <c r="J727" s="35"/>
      <c r="K727" s="35"/>
    </row>
    <row r="728">
      <c r="A728" s="33"/>
      <c r="G728" s="33" t="str">
        <f>IFERROR(__xludf.DUMMYFUNCTION("IF(OR(A728="""",F728=""""),"""",TEXT(WORKDAY(DATE(VALUE(LEFT(TO_TEXT(A728),4)),VALUE(MID(TO_TEXT(A728),5,2)),VALUE(RIGHT(TO_TEXT(A728),2))),F728),""yyyymmdd""))"),"")</f>
        <v/>
      </c>
      <c r="H728" s="34" t="str">
        <f t="shared" si="1"/>
        <v/>
      </c>
      <c r="I728" s="35"/>
      <c r="J728" s="35"/>
      <c r="K728" s="35"/>
    </row>
    <row r="729">
      <c r="A729" s="33"/>
      <c r="G729" s="33" t="str">
        <f>IFERROR(__xludf.DUMMYFUNCTION("IF(OR(A729="""",F729=""""),"""",TEXT(WORKDAY(DATE(VALUE(LEFT(TO_TEXT(A729),4)),VALUE(MID(TO_TEXT(A729),5,2)),VALUE(RIGHT(TO_TEXT(A729),2))),F729),""yyyymmdd""))"),"")</f>
        <v/>
      </c>
      <c r="H729" s="34" t="str">
        <f t="shared" si="1"/>
        <v/>
      </c>
      <c r="I729" s="35"/>
      <c r="J729" s="35"/>
      <c r="K729" s="35"/>
    </row>
    <row r="730">
      <c r="A730" s="33"/>
      <c r="G730" s="33" t="str">
        <f>IFERROR(__xludf.DUMMYFUNCTION("IF(OR(A730="""",F730=""""),"""",TEXT(WORKDAY(DATE(VALUE(LEFT(TO_TEXT(A730),4)),VALUE(MID(TO_TEXT(A730),5,2)),VALUE(RIGHT(TO_TEXT(A730),2))),F730),""yyyymmdd""))"),"")</f>
        <v/>
      </c>
      <c r="H730" s="34" t="str">
        <f t="shared" si="1"/>
        <v/>
      </c>
      <c r="I730" s="35"/>
      <c r="J730" s="35"/>
      <c r="K730" s="35"/>
    </row>
    <row r="731">
      <c r="A731" s="33"/>
      <c r="G731" s="33" t="str">
        <f>IFERROR(__xludf.DUMMYFUNCTION("IF(OR(A731="""",F731=""""),"""",TEXT(WORKDAY(DATE(VALUE(LEFT(TO_TEXT(A731),4)),VALUE(MID(TO_TEXT(A731),5,2)),VALUE(RIGHT(TO_TEXT(A731),2))),F731),""yyyymmdd""))"),"")</f>
        <v/>
      </c>
      <c r="H731" s="34" t="str">
        <f t="shared" si="1"/>
        <v/>
      </c>
      <c r="I731" s="35"/>
      <c r="J731" s="35"/>
      <c r="K731" s="35"/>
    </row>
    <row r="732">
      <c r="A732" s="33"/>
      <c r="G732" s="33" t="str">
        <f>IFERROR(__xludf.DUMMYFUNCTION("IF(OR(A732="""",F732=""""),"""",TEXT(WORKDAY(DATE(VALUE(LEFT(TO_TEXT(A732),4)),VALUE(MID(TO_TEXT(A732),5,2)),VALUE(RIGHT(TO_TEXT(A732),2))),F732),""yyyymmdd""))"),"")</f>
        <v/>
      </c>
      <c r="H732" s="34" t="str">
        <f t="shared" si="1"/>
        <v/>
      </c>
      <c r="I732" s="35"/>
      <c r="J732" s="35"/>
      <c r="K732" s="35"/>
    </row>
    <row r="733">
      <c r="A733" s="33"/>
      <c r="G733" s="33" t="str">
        <f>IFERROR(__xludf.DUMMYFUNCTION("IF(OR(A733="""",F733=""""),"""",TEXT(WORKDAY(DATE(VALUE(LEFT(TO_TEXT(A733),4)),VALUE(MID(TO_TEXT(A733),5,2)),VALUE(RIGHT(TO_TEXT(A733),2))),F733),""yyyymmdd""))"),"")</f>
        <v/>
      </c>
      <c r="H733" s="34" t="str">
        <f t="shared" si="1"/>
        <v/>
      </c>
      <c r="I733" s="35"/>
      <c r="J733" s="35"/>
      <c r="K733" s="35"/>
    </row>
    <row r="734">
      <c r="A734" s="33"/>
      <c r="G734" s="33" t="str">
        <f>IFERROR(__xludf.DUMMYFUNCTION("IF(OR(A734="""",F734=""""),"""",TEXT(WORKDAY(DATE(VALUE(LEFT(TO_TEXT(A734),4)),VALUE(MID(TO_TEXT(A734),5,2)),VALUE(RIGHT(TO_TEXT(A734),2))),F734),""yyyymmdd""))"),"")</f>
        <v/>
      </c>
      <c r="H734" s="34" t="str">
        <f t="shared" si="1"/>
        <v/>
      </c>
      <c r="I734" s="35"/>
      <c r="J734" s="35"/>
      <c r="K734" s="35"/>
    </row>
    <row r="735">
      <c r="A735" s="33"/>
      <c r="G735" s="33" t="str">
        <f>IFERROR(__xludf.DUMMYFUNCTION("IF(OR(A735="""",F735=""""),"""",TEXT(WORKDAY(DATE(VALUE(LEFT(TO_TEXT(A735),4)),VALUE(MID(TO_TEXT(A735),5,2)),VALUE(RIGHT(TO_TEXT(A735),2))),F735),""yyyymmdd""))"),"")</f>
        <v/>
      </c>
      <c r="H735" s="34" t="str">
        <f t="shared" si="1"/>
        <v/>
      </c>
      <c r="I735" s="35"/>
      <c r="J735" s="35"/>
      <c r="K735" s="35"/>
    </row>
    <row r="736">
      <c r="A736" s="33"/>
      <c r="G736" s="33" t="str">
        <f>IFERROR(__xludf.DUMMYFUNCTION("IF(OR(A736="""",F736=""""),"""",TEXT(WORKDAY(DATE(VALUE(LEFT(TO_TEXT(A736),4)),VALUE(MID(TO_TEXT(A736),5,2)),VALUE(RIGHT(TO_TEXT(A736),2))),F736),""yyyymmdd""))"),"")</f>
        <v/>
      </c>
      <c r="H736" s="34" t="str">
        <f t="shared" si="1"/>
        <v/>
      </c>
      <c r="I736" s="35"/>
      <c r="J736" s="35"/>
      <c r="K736" s="35"/>
    </row>
    <row r="737">
      <c r="A737" s="33"/>
      <c r="G737" s="33" t="str">
        <f>IFERROR(__xludf.DUMMYFUNCTION("IF(OR(A737="""",F737=""""),"""",TEXT(WORKDAY(DATE(VALUE(LEFT(TO_TEXT(A737),4)),VALUE(MID(TO_TEXT(A737),5,2)),VALUE(RIGHT(TO_TEXT(A737),2))),F737),""yyyymmdd""))"),"")</f>
        <v/>
      </c>
      <c r="H737" s="34" t="str">
        <f t="shared" si="1"/>
        <v/>
      </c>
      <c r="I737" s="35"/>
      <c r="J737" s="35"/>
      <c r="K737" s="35"/>
    </row>
    <row r="738">
      <c r="A738" s="33"/>
      <c r="G738" s="33" t="str">
        <f>IFERROR(__xludf.DUMMYFUNCTION("IF(OR(A738="""",F738=""""),"""",TEXT(WORKDAY(DATE(VALUE(LEFT(TO_TEXT(A738),4)),VALUE(MID(TO_TEXT(A738),5,2)),VALUE(RIGHT(TO_TEXT(A738),2))),F738),""yyyymmdd""))"),"")</f>
        <v/>
      </c>
      <c r="H738" s="34" t="str">
        <f t="shared" si="1"/>
        <v/>
      </c>
      <c r="I738" s="35"/>
      <c r="J738" s="35"/>
      <c r="K738" s="35"/>
    </row>
    <row r="739">
      <c r="A739" s="33"/>
      <c r="G739" s="33" t="str">
        <f>IFERROR(__xludf.DUMMYFUNCTION("IF(OR(A739="""",F739=""""),"""",TEXT(WORKDAY(DATE(VALUE(LEFT(TO_TEXT(A739),4)),VALUE(MID(TO_TEXT(A739),5,2)),VALUE(RIGHT(TO_TEXT(A739),2))),F739),""yyyymmdd""))"),"")</f>
        <v/>
      </c>
      <c r="H739" s="34" t="str">
        <f t="shared" si="1"/>
        <v/>
      </c>
      <c r="I739" s="35"/>
      <c r="J739" s="35"/>
      <c r="K739" s="35"/>
    </row>
    <row r="740">
      <c r="A740" s="33"/>
      <c r="G740" s="33" t="str">
        <f>IFERROR(__xludf.DUMMYFUNCTION("IF(OR(A740="""",F740=""""),"""",TEXT(WORKDAY(DATE(VALUE(LEFT(TO_TEXT(A740),4)),VALUE(MID(TO_TEXT(A740),5,2)),VALUE(RIGHT(TO_TEXT(A740),2))),F740),""yyyymmdd""))"),"")</f>
        <v/>
      </c>
      <c r="H740" s="34" t="str">
        <f t="shared" si="1"/>
        <v/>
      </c>
      <c r="I740" s="35"/>
      <c r="J740" s="35"/>
      <c r="K740" s="35"/>
    </row>
    <row r="741">
      <c r="A741" s="33"/>
      <c r="G741" s="33" t="str">
        <f>IFERROR(__xludf.DUMMYFUNCTION("IF(OR(A741="""",F741=""""),"""",TEXT(WORKDAY(DATE(VALUE(LEFT(TO_TEXT(A741),4)),VALUE(MID(TO_TEXT(A741),5,2)),VALUE(RIGHT(TO_TEXT(A741),2))),F741),""yyyymmdd""))"),"")</f>
        <v/>
      </c>
      <c r="H741" s="34" t="str">
        <f t="shared" si="1"/>
        <v/>
      </c>
      <c r="I741" s="35"/>
      <c r="J741" s="35"/>
      <c r="K741" s="35"/>
    </row>
    <row r="742">
      <c r="A742" s="33"/>
      <c r="G742" s="33" t="str">
        <f>IFERROR(__xludf.DUMMYFUNCTION("IF(OR(A742="""",F742=""""),"""",TEXT(WORKDAY(DATE(VALUE(LEFT(TO_TEXT(A742),4)),VALUE(MID(TO_TEXT(A742),5,2)),VALUE(RIGHT(TO_TEXT(A742),2))),F742),""yyyymmdd""))"),"")</f>
        <v/>
      </c>
      <c r="H742" s="34" t="str">
        <f t="shared" si="1"/>
        <v/>
      </c>
      <c r="I742" s="35"/>
      <c r="J742" s="35"/>
      <c r="K742" s="35"/>
    </row>
    <row r="743">
      <c r="A743" s="33"/>
      <c r="G743" s="33" t="str">
        <f>IFERROR(__xludf.DUMMYFUNCTION("IF(OR(A743="""",F743=""""),"""",TEXT(WORKDAY(DATE(VALUE(LEFT(TO_TEXT(A743),4)),VALUE(MID(TO_TEXT(A743),5,2)),VALUE(RIGHT(TO_TEXT(A743),2))),F743),""yyyymmdd""))"),"")</f>
        <v/>
      </c>
      <c r="H743" s="34" t="str">
        <f t="shared" si="1"/>
        <v/>
      </c>
      <c r="I743" s="35"/>
      <c r="J743" s="35"/>
      <c r="K743" s="35"/>
    </row>
    <row r="744">
      <c r="A744" s="33"/>
      <c r="G744" s="33" t="str">
        <f>IFERROR(__xludf.DUMMYFUNCTION("IF(OR(A744="""",F744=""""),"""",TEXT(WORKDAY(DATE(VALUE(LEFT(TO_TEXT(A744),4)),VALUE(MID(TO_TEXT(A744),5,2)),VALUE(RIGHT(TO_TEXT(A744),2))),F744),""yyyymmdd""))"),"")</f>
        <v/>
      </c>
      <c r="H744" s="34" t="str">
        <f t="shared" si="1"/>
        <v/>
      </c>
      <c r="I744" s="35"/>
      <c r="J744" s="35"/>
      <c r="K744" s="35"/>
    </row>
    <row r="745">
      <c r="A745" s="33"/>
      <c r="G745" s="33" t="str">
        <f>IFERROR(__xludf.DUMMYFUNCTION("IF(OR(A745="""",F745=""""),"""",TEXT(WORKDAY(DATE(VALUE(LEFT(TO_TEXT(A745),4)),VALUE(MID(TO_TEXT(A745),5,2)),VALUE(RIGHT(TO_TEXT(A745),2))),F745),""yyyymmdd""))"),"")</f>
        <v/>
      </c>
      <c r="H745" s="34" t="str">
        <f t="shared" si="1"/>
        <v/>
      </c>
      <c r="I745" s="35"/>
      <c r="J745" s="35"/>
      <c r="K745" s="35"/>
    </row>
    <row r="746">
      <c r="A746" s="33"/>
      <c r="G746" s="33" t="str">
        <f>IFERROR(__xludf.DUMMYFUNCTION("IF(OR(A746="""",F746=""""),"""",TEXT(WORKDAY(DATE(VALUE(LEFT(TO_TEXT(A746),4)),VALUE(MID(TO_TEXT(A746),5,2)),VALUE(RIGHT(TO_TEXT(A746),2))),F746),""yyyymmdd""))"),"")</f>
        <v/>
      </c>
      <c r="H746" s="34" t="str">
        <f t="shared" si="1"/>
        <v/>
      </c>
      <c r="I746" s="35"/>
      <c r="J746" s="35"/>
      <c r="K746" s="35"/>
    </row>
    <row r="747">
      <c r="A747" s="33"/>
      <c r="G747" s="33" t="str">
        <f>IFERROR(__xludf.DUMMYFUNCTION("IF(OR(A747="""",F747=""""),"""",TEXT(WORKDAY(DATE(VALUE(LEFT(TO_TEXT(A747),4)),VALUE(MID(TO_TEXT(A747),5,2)),VALUE(RIGHT(TO_TEXT(A747),2))),F747),""yyyymmdd""))"),"")</f>
        <v/>
      </c>
      <c r="H747" s="34" t="str">
        <f t="shared" si="1"/>
        <v/>
      </c>
      <c r="I747" s="35"/>
      <c r="J747" s="35"/>
      <c r="K747" s="35"/>
    </row>
    <row r="748">
      <c r="A748" s="33"/>
      <c r="G748" s="33" t="str">
        <f>IFERROR(__xludf.DUMMYFUNCTION("IF(OR(A748="""",F748=""""),"""",TEXT(WORKDAY(DATE(VALUE(LEFT(TO_TEXT(A748),4)),VALUE(MID(TO_TEXT(A748),5,2)),VALUE(RIGHT(TO_TEXT(A748),2))),F748),""yyyymmdd""))"),"")</f>
        <v/>
      </c>
      <c r="H748" s="34" t="str">
        <f t="shared" si="1"/>
        <v/>
      </c>
      <c r="I748" s="35"/>
      <c r="J748" s="35"/>
      <c r="K748" s="35"/>
    </row>
    <row r="749">
      <c r="A749" s="33"/>
      <c r="G749" s="33" t="str">
        <f>IFERROR(__xludf.DUMMYFUNCTION("IF(OR(A749="""",F749=""""),"""",TEXT(WORKDAY(DATE(VALUE(LEFT(TO_TEXT(A749),4)),VALUE(MID(TO_TEXT(A749),5,2)),VALUE(RIGHT(TO_TEXT(A749),2))),F749),""yyyymmdd""))"),"")</f>
        <v/>
      </c>
      <c r="H749" s="34" t="str">
        <f t="shared" si="1"/>
        <v/>
      </c>
      <c r="I749" s="35"/>
      <c r="J749" s="35"/>
      <c r="K749" s="35"/>
    </row>
    <row r="750">
      <c r="A750" s="33"/>
      <c r="G750" s="33" t="str">
        <f>IFERROR(__xludf.DUMMYFUNCTION("IF(OR(A750="""",F750=""""),"""",TEXT(WORKDAY(DATE(VALUE(LEFT(TO_TEXT(A750),4)),VALUE(MID(TO_TEXT(A750),5,2)),VALUE(RIGHT(TO_TEXT(A750),2))),F750),""yyyymmdd""))"),"")</f>
        <v/>
      </c>
      <c r="H750" s="34" t="str">
        <f t="shared" si="1"/>
        <v/>
      </c>
      <c r="I750" s="35"/>
      <c r="J750" s="35"/>
      <c r="K750" s="35"/>
    </row>
    <row r="751">
      <c r="A751" s="33"/>
      <c r="G751" s="33" t="str">
        <f>IFERROR(__xludf.DUMMYFUNCTION("IF(OR(A751="""",F751=""""),"""",TEXT(WORKDAY(DATE(VALUE(LEFT(TO_TEXT(A751),4)),VALUE(MID(TO_TEXT(A751),5,2)),VALUE(RIGHT(TO_TEXT(A751),2))),F751),""yyyymmdd""))"),"")</f>
        <v/>
      </c>
      <c r="H751" s="34" t="str">
        <f t="shared" si="1"/>
        <v/>
      </c>
      <c r="I751" s="35"/>
      <c r="J751" s="35"/>
      <c r="K751" s="35"/>
    </row>
    <row r="752">
      <c r="A752" s="33"/>
      <c r="G752" s="33" t="str">
        <f>IFERROR(__xludf.DUMMYFUNCTION("IF(OR(A752="""",F752=""""),"""",TEXT(WORKDAY(DATE(VALUE(LEFT(TO_TEXT(A752),4)),VALUE(MID(TO_TEXT(A752),5,2)),VALUE(RIGHT(TO_TEXT(A752),2))),F752),""yyyymmdd""))"),"")</f>
        <v/>
      </c>
      <c r="H752" s="34" t="str">
        <f t="shared" si="1"/>
        <v/>
      </c>
      <c r="I752" s="35"/>
      <c r="J752" s="35"/>
      <c r="K752" s="35"/>
    </row>
    <row r="753">
      <c r="A753" s="33"/>
      <c r="G753" s="33" t="str">
        <f>IFERROR(__xludf.DUMMYFUNCTION("IF(OR(A753="""",F753=""""),"""",TEXT(WORKDAY(DATE(VALUE(LEFT(TO_TEXT(A753),4)),VALUE(MID(TO_TEXT(A753),5,2)),VALUE(RIGHT(TO_TEXT(A753),2))),F753),""yyyymmdd""))"),"")</f>
        <v/>
      </c>
      <c r="H753" s="34" t="str">
        <f t="shared" si="1"/>
        <v/>
      </c>
      <c r="I753" s="35"/>
      <c r="J753" s="35"/>
      <c r="K753" s="35"/>
    </row>
    <row r="754">
      <c r="A754" s="33"/>
      <c r="G754" s="33" t="str">
        <f>IFERROR(__xludf.DUMMYFUNCTION("IF(OR(A754="""",F754=""""),"""",TEXT(WORKDAY(DATE(VALUE(LEFT(TO_TEXT(A754),4)),VALUE(MID(TO_TEXT(A754),5,2)),VALUE(RIGHT(TO_TEXT(A754),2))),F754),""yyyymmdd""))"),"")</f>
        <v/>
      </c>
      <c r="H754" s="34" t="str">
        <f t="shared" si="1"/>
        <v/>
      </c>
      <c r="I754" s="35"/>
      <c r="J754" s="35"/>
      <c r="K754" s="35"/>
    </row>
    <row r="755">
      <c r="A755" s="33"/>
      <c r="G755" s="33" t="str">
        <f>IFERROR(__xludf.DUMMYFUNCTION("IF(OR(A755="""",F755=""""),"""",TEXT(WORKDAY(DATE(VALUE(LEFT(TO_TEXT(A755),4)),VALUE(MID(TO_TEXT(A755),5,2)),VALUE(RIGHT(TO_TEXT(A755),2))),F755),""yyyymmdd""))"),"")</f>
        <v/>
      </c>
      <c r="H755" s="34" t="str">
        <f t="shared" si="1"/>
        <v/>
      </c>
      <c r="I755" s="35"/>
      <c r="J755" s="35"/>
      <c r="K755" s="35"/>
    </row>
    <row r="756">
      <c r="A756" s="33"/>
      <c r="G756" s="33" t="str">
        <f>IFERROR(__xludf.DUMMYFUNCTION("IF(OR(A756="""",F756=""""),"""",TEXT(WORKDAY(DATE(VALUE(LEFT(TO_TEXT(A756),4)),VALUE(MID(TO_TEXT(A756),5,2)),VALUE(RIGHT(TO_TEXT(A756),2))),F756),""yyyymmdd""))"),"")</f>
        <v/>
      </c>
      <c r="H756" s="34" t="str">
        <f t="shared" si="1"/>
        <v/>
      </c>
      <c r="I756" s="35"/>
      <c r="J756" s="35"/>
      <c r="K756" s="35"/>
    </row>
    <row r="757">
      <c r="A757" s="33"/>
      <c r="G757" s="33" t="str">
        <f>IFERROR(__xludf.DUMMYFUNCTION("IF(OR(A757="""",F757=""""),"""",TEXT(WORKDAY(DATE(VALUE(LEFT(TO_TEXT(A757),4)),VALUE(MID(TO_TEXT(A757),5,2)),VALUE(RIGHT(TO_TEXT(A757),2))),F757),""yyyymmdd""))"),"")</f>
        <v/>
      </c>
      <c r="H757" s="34" t="str">
        <f t="shared" si="1"/>
        <v/>
      </c>
      <c r="I757" s="35"/>
      <c r="J757" s="35"/>
      <c r="K757" s="35"/>
    </row>
    <row r="758">
      <c r="A758" s="33"/>
      <c r="G758" s="33" t="str">
        <f>IFERROR(__xludf.DUMMYFUNCTION("IF(OR(A758="""",F758=""""),"""",TEXT(WORKDAY(DATE(VALUE(LEFT(TO_TEXT(A758),4)),VALUE(MID(TO_TEXT(A758),5,2)),VALUE(RIGHT(TO_TEXT(A758),2))),F758),""yyyymmdd""))"),"")</f>
        <v/>
      </c>
      <c r="H758" s="34" t="str">
        <f t="shared" si="1"/>
        <v/>
      </c>
      <c r="I758" s="35"/>
      <c r="J758" s="35"/>
      <c r="K758" s="35"/>
    </row>
    <row r="759">
      <c r="A759" s="33"/>
      <c r="G759" s="33" t="str">
        <f>IFERROR(__xludf.DUMMYFUNCTION("IF(OR(A759="""",F759=""""),"""",TEXT(WORKDAY(DATE(VALUE(LEFT(TO_TEXT(A759),4)),VALUE(MID(TO_TEXT(A759),5,2)),VALUE(RIGHT(TO_TEXT(A759),2))),F759),""yyyymmdd""))"),"")</f>
        <v/>
      </c>
      <c r="H759" s="34" t="str">
        <f t="shared" si="1"/>
        <v/>
      </c>
      <c r="I759" s="35"/>
      <c r="J759" s="35"/>
      <c r="K759" s="35"/>
    </row>
    <row r="760">
      <c r="A760" s="33"/>
      <c r="G760" s="33" t="str">
        <f>IFERROR(__xludf.DUMMYFUNCTION("IF(OR(A760="""",F760=""""),"""",TEXT(WORKDAY(DATE(VALUE(LEFT(TO_TEXT(A760),4)),VALUE(MID(TO_TEXT(A760),5,2)),VALUE(RIGHT(TO_TEXT(A760),2))),F760),""yyyymmdd""))"),"")</f>
        <v/>
      </c>
      <c r="H760" s="34" t="str">
        <f t="shared" si="1"/>
        <v/>
      </c>
      <c r="I760" s="35"/>
      <c r="J760" s="35"/>
      <c r="K760" s="35"/>
    </row>
    <row r="761">
      <c r="A761" s="33"/>
      <c r="G761" s="33" t="str">
        <f>IFERROR(__xludf.DUMMYFUNCTION("IF(OR(A761="""",F761=""""),"""",TEXT(WORKDAY(DATE(VALUE(LEFT(TO_TEXT(A761),4)),VALUE(MID(TO_TEXT(A761),5,2)),VALUE(RIGHT(TO_TEXT(A761),2))),F761),""yyyymmdd""))"),"")</f>
        <v/>
      </c>
      <c r="H761" s="34" t="str">
        <f t="shared" si="1"/>
        <v/>
      </c>
      <c r="I761" s="35"/>
      <c r="J761" s="35"/>
      <c r="K761" s="35"/>
    </row>
    <row r="762">
      <c r="A762" s="33"/>
      <c r="G762" s="33" t="str">
        <f>IFERROR(__xludf.DUMMYFUNCTION("IF(OR(A762="""",F762=""""),"""",TEXT(WORKDAY(DATE(VALUE(LEFT(TO_TEXT(A762),4)),VALUE(MID(TO_TEXT(A762),5,2)),VALUE(RIGHT(TO_TEXT(A762),2))),F762),""yyyymmdd""))"),"")</f>
        <v/>
      </c>
      <c r="H762" s="34" t="str">
        <f t="shared" si="1"/>
        <v/>
      </c>
      <c r="I762" s="35"/>
      <c r="J762" s="35"/>
      <c r="K762" s="35"/>
    </row>
    <row r="763">
      <c r="A763" s="33"/>
      <c r="G763" s="33" t="str">
        <f>IFERROR(__xludf.DUMMYFUNCTION("IF(OR(A763="""",F763=""""),"""",TEXT(WORKDAY(DATE(VALUE(LEFT(TO_TEXT(A763),4)),VALUE(MID(TO_TEXT(A763),5,2)),VALUE(RIGHT(TO_TEXT(A763),2))),F763),""yyyymmdd""))"),"")</f>
        <v/>
      </c>
      <c r="H763" s="34" t="str">
        <f t="shared" si="1"/>
        <v/>
      </c>
      <c r="I763" s="35"/>
      <c r="J763" s="35"/>
      <c r="K763" s="35"/>
    </row>
    <row r="764">
      <c r="A764" s="33"/>
      <c r="G764" s="33" t="str">
        <f>IFERROR(__xludf.DUMMYFUNCTION("IF(OR(A764="""",F764=""""),"""",TEXT(WORKDAY(DATE(VALUE(LEFT(TO_TEXT(A764),4)),VALUE(MID(TO_TEXT(A764),5,2)),VALUE(RIGHT(TO_TEXT(A764),2))),F764),""yyyymmdd""))"),"")</f>
        <v/>
      </c>
      <c r="H764" s="34" t="str">
        <f t="shared" si="1"/>
        <v/>
      </c>
      <c r="I764" s="35"/>
      <c r="J764" s="35"/>
      <c r="K764" s="35"/>
    </row>
    <row r="765">
      <c r="A765" s="33"/>
      <c r="G765" s="33" t="str">
        <f>IFERROR(__xludf.DUMMYFUNCTION("IF(OR(A765="""",F765=""""),"""",TEXT(WORKDAY(DATE(VALUE(LEFT(TO_TEXT(A765),4)),VALUE(MID(TO_TEXT(A765),5,2)),VALUE(RIGHT(TO_TEXT(A765),2))),F765),""yyyymmdd""))"),"")</f>
        <v/>
      </c>
      <c r="H765" s="34" t="str">
        <f t="shared" si="1"/>
        <v/>
      </c>
      <c r="I765" s="35"/>
      <c r="J765" s="35"/>
      <c r="K765" s="35"/>
    </row>
    <row r="766">
      <c r="A766" s="33"/>
      <c r="G766" s="33" t="str">
        <f>IFERROR(__xludf.DUMMYFUNCTION("IF(OR(A766="""",F766=""""),"""",TEXT(WORKDAY(DATE(VALUE(LEFT(TO_TEXT(A766),4)),VALUE(MID(TO_TEXT(A766),5,2)),VALUE(RIGHT(TO_TEXT(A766),2))),F766),""yyyymmdd""))"),"")</f>
        <v/>
      </c>
      <c r="H766" s="34" t="str">
        <f t="shared" si="1"/>
        <v/>
      </c>
      <c r="I766" s="35"/>
      <c r="J766" s="35"/>
      <c r="K766" s="35"/>
    </row>
    <row r="767">
      <c r="A767" s="33"/>
      <c r="G767" s="33" t="str">
        <f>IFERROR(__xludf.DUMMYFUNCTION("IF(OR(A767="""",F767=""""),"""",TEXT(WORKDAY(DATE(VALUE(LEFT(TO_TEXT(A767),4)),VALUE(MID(TO_TEXT(A767),5,2)),VALUE(RIGHT(TO_TEXT(A767),2))),F767),""yyyymmdd""))"),"")</f>
        <v/>
      </c>
      <c r="H767" s="34" t="str">
        <f t="shared" si="1"/>
        <v/>
      </c>
      <c r="I767" s="35"/>
      <c r="J767" s="35"/>
      <c r="K767" s="35"/>
    </row>
    <row r="768">
      <c r="A768" s="33"/>
      <c r="G768" s="33" t="str">
        <f>IFERROR(__xludf.DUMMYFUNCTION("IF(OR(A768="""",F768=""""),"""",TEXT(WORKDAY(DATE(VALUE(LEFT(TO_TEXT(A768),4)),VALUE(MID(TO_TEXT(A768),5,2)),VALUE(RIGHT(TO_TEXT(A768),2))),F768),""yyyymmdd""))"),"")</f>
        <v/>
      </c>
      <c r="H768" s="34" t="str">
        <f t="shared" si="1"/>
        <v/>
      </c>
      <c r="I768" s="35"/>
      <c r="J768" s="35"/>
      <c r="K768" s="35"/>
    </row>
    <row r="769">
      <c r="A769" s="33"/>
      <c r="G769" s="33" t="str">
        <f>IFERROR(__xludf.DUMMYFUNCTION("IF(OR(A769="""",F769=""""),"""",TEXT(WORKDAY(DATE(VALUE(LEFT(TO_TEXT(A769),4)),VALUE(MID(TO_TEXT(A769),5,2)),VALUE(RIGHT(TO_TEXT(A769),2))),F769),""yyyymmdd""))"),"")</f>
        <v/>
      </c>
      <c r="H769" s="34" t="str">
        <f t="shared" si="1"/>
        <v/>
      </c>
      <c r="I769" s="35"/>
      <c r="J769" s="35"/>
      <c r="K769" s="35"/>
    </row>
    <row r="770">
      <c r="A770" s="33"/>
      <c r="G770" s="33" t="str">
        <f>IFERROR(__xludf.DUMMYFUNCTION("IF(OR(A770="""",F770=""""),"""",TEXT(WORKDAY(DATE(VALUE(LEFT(TO_TEXT(A770),4)),VALUE(MID(TO_TEXT(A770),5,2)),VALUE(RIGHT(TO_TEXT(A770),2))),F770),""yyyymmdd""))"),"")</f>
        <v/>
      </c>
      <c r="H770" s="34" t="str">
        <f t="shared" si="1"/>
        <v/>
      </c>
      <c r="I770" s="35"/>
      <c r="J770" s="35"/>
      <c r="K770" s="35"/>
    </row>
    <row r="771">
      <c r="A771" s="33"/>
      <c r="G771" s="33" t="str">
        <f>IFERROR(__xludf.DUMMYFUNCTION("IF(OR(A771="""",F771=""""),"""",TEXT(WORKDAY(DATE(VALUE(LEFT(TO_TEXT(A771),4)),VALUE(MID(TO_TEXT(A771),5,2)),VALUE(RIGHT(TO_TEXT(A771),2))),F771),""yyyymmdd""))"),"")</f>
        <v/>
      </c>
      <c r="H771" s="34" t="str">
        <f t="shared" si="1"/>
        <v/>
      </c>
      <c r="I771" s="35"/>
      <c r="J771" s="35"/>
      <c r="K771" s="35"/>
    </row>
    <row r="772">
      <c r="A772" s="33"/>
      <c r="G772" s="33" t="str">
        <f>IFERROR(__xludf.DUMMYFUNCTION("IF(OR(A772="""",F772=""""),"""",TEXT(WORKDAY(DATE(VALUE(LEFT(TO_TEXT(A772),4)),VALUE(MID(TO_TEXT(A772),5,2)),VALUE(RIGHT(TO_TEXT(A772),2))),F772),""yyyymmdd""))"),"")</f>
        <v/>
      </c>
      <c r="H772" s="34" t="str">
        <f t="shared" si="1"/>
        <v/>
      </c>
      <c r="I772" s="35"/>
      <c r="J772" s="35"/>
      <c r="K772" s="35"/>
    </row>
    <row r="773">
      <c r="A773" s="33"/>
      <c r="G773" s="33" t="str">
        <f>IFERROR(__xludf.DUMMYFUNCTION("IF(OR(A773="""",F773=""""),"""",TEXT(WORKDAY(DATE(VALUE(LEFT(TO_TEXT(A773),4)),VALUE(MID(TO_TEXT(A773),5,2)),VALUE(RIGHT(TO_TEXT(A773),2))),F773),""yyyymmdd""))"),"")</f>
        <v/>
      </c>
      <c r="H773" s="34" t="str">
        <f t="shared" si="1"/>
        <v/>
      </c>
      <c r="I773" s="35"/>
      <c r="J773" s="35"/>
      <c r="K773" s="35"/>
    </row>
    <row r="774">
      <c r="A774" s="33"/>
      <c r="G774" s="33" t="str">
        <f>IFERROR(__xludf.DUMMYFUNCTION("IF(OR(A774="""",F774=""""),"""",TEXT(WORKDAY(DATE(VALUE(LEFT(TO_TEXT(A774),4)),VALUE(MID(TO_TEXT(A774),5,2)),VALUE(RIGHT(TO_TEXT(A774),2))),F774),""yyyymmdd""))"),"")</f>
        <v/>
      </c>
      <c r="H774" s="34" t="str">
        <f t="shared" si="1"/>
        <v/>
      </c>
      <c r="I774" s="35"/>
      <c r="J774" s="35"/>
      <c r="K774" s="35"/>
    </row>
    <row r="775">
      <c r="A775" s="33"/>
      <c r="G775" s="33" t="str">
        <f>IFERROR(__xludf.DUMMYFUNCTION("IF(OR(A775="""",F775=""""),"""",TEXT(WORKDAY(DATE(VALUE(LEFT(TO_TEXT(A775),4)),VALUE(MID(TO_TEXT(A775),5,2)),VALUE(RIGHT(TO_TEXT(A775),2))),F775),""yyyymmdd""))"),"")</f>
        <v/>
      </c>
      <c r="H775" s="34" t="str">
        <f t="shared" si="1"/>
        <v/>
      </c>
      <c r="I775" s="35"/>
      <c r="J775" s="35"/>
      <c r="K775" s="35"/>
    </row>
    <row r="776">
      <c r="A776" s="33"/>
      <c r="G776" s="33" t="str">
        <f>IFERROR(__xludf.DUMMYFUNCTION("IF(OR(A776="""",F776=""""),"""",TEXT(WORKDAY(DATE(VALUE(LEFT(TO_TEXT(A776),4)),VALUE(MID(TO_TEXT(A776),5,2)),VALUE(RIGHT(TO_TEXT(A776),2))),F776),""yyyymmdd""))"),"")</f>
        <v/>
      </c>
      <c r="H776" s="34" t="str">
        <f t="shared" si="1"/>
        <v/>
      </c>
      <c r="I776" s="35"/>
      <c r="J776" s="35"/>
      <c r="K776" s="35"/>
    </row>
    <row r="777">
      <c r="A777" s="33"/>
      <c r="G777" s="33" t="str">
        <f>IFERROR(__xludf.DUMMYFUNCTION("IF(OR(A777="""",F777=""""),"""",TEXT(WORKDAY(DATE(VALUE(LEFT(TO_TEXT(A777),4)),VALUE(MID(TO_TEXT(A777),5,2)),VALUE(RIGHT(TO_TEXT(A777),2))),F777),""yyyymmdd""))"),"")</f>
        <v/>
      </c>
      <c r="H777" s="34" t="str">
        <f t="shared" si="1"/>
        <v/>
      </c>
      <c r="I777" s="35"/>
      <c r="J777" s="35"/>
      <c r="K777" s="35"/>
    </row>
    <row r="778">
      <c r="A778" s="33"/>
      <c r="G778" s="33" t="str">
        <f>IFERROR(__xludf.DUMMYFUNCTION("IF(OR(A778="""",F778=""""),"""",TEXT(WORKDAY(DATE(VALUE(LEFT(TO_TEXT(A778),4)),VALUE(MID(TO_TEXT(A778),5,2)),VALUE(RIGHT(TO_TEXT(A778),2))),F778),""yyyymmdd""))"),"")</f>
        <v/>
      </c>
      <c r="H778" s="34" t="str">
        <f t="shared" si="1"/>
        <v/>
      </c>
      <c r="I778" s="35"/>
      <c r="J778" s="35"/>
      <c r="K778" s="35"/>
    </row>
    <row r="779">
      <c r="A779" s="33"/>
      <c r="G779" s="33" t="str">
        <f>IFERROR(__xludf.DUMMYFUNCTION("IF(OR(A779="""",F779=""""),"""",TEXT(WORKDAY(DATE(VALUE(LEFT(TO_TEXT(A779),4)),VALUE(MID(TO_TEXT(A779),5,2)),VALUE(RIGHT(TO_TEXT(A779),2))),F779),""yyyymmdd""))"),"")</f>
        <v/>
      </c>
      <c r="H779" s="34" t="str">
        <f t="shared" si="1"/>
        <v/>
      </c>
      <c r="I779" s="35"/>
      <c r="J779" s="35"/>
      <c r="K779" s="35"/>
    </row>
    <row r="780">
      <c r="A780" s="33"/>
      <c r="G780" s="33" t="str">
        <f>IFERROR(__xludf.DUMMYFUNCTION("IF(OR(A780="""",F780=""""),"""",TEXT(WORKDAY(DATE(VALUE(LEFT(TO_TEXT(A780),4)),VALUE(MID(TO_TEXT(A780),5,2)),VALUE(RIGHT(TO_TEXT(A780),2))),F780),""yyyymmdd""))"),"")</f>
        <v/>
      </c>
      <c r="H780" s="34" t="str">
        <f t="shared" si="1"/>
        <v/>
      </c>
      <c r="I780" s="35"/>
      <c r="J780" s="35"/>
      <c r="K780" s="35"/>
    </row>
    <row r="781">
      <c r="A781" s="33"/>
      <c r="G781" s="33" t="str">
        <f>IFERROR(__xludf.DUMMYFUNCTION("IF(OR(A781="""",F781=""""),"""",TEXT(WORKDAY(DATE(VALUE(LEFT(TO_TEXT(A781),4)),VALUE(MID(TO_TEXT(A781),5,2)),VALUE(RIGHT(TO_TEXT(A781),2))),F781),""yyyymmdd""))"),"")</f>
        <v/>
      </c>
      <c r="H781" s="34" t="str">
        <f t="shared" si="1"/>
        <v/>
      </c>
      <c r="I781" s="35"/>
      <c r="J781" s="35"/>
      <c r="K781" s="35"/>
    </row>
    <row r="782">
      <c r="A782" s="33"/>
      <c r="G782" s="33" t="str">
        <f>IFERROR(__xludf.DUMMYFUNCTION("IF(OR(A782="""",F782=""""),"""",TEXT(WORKDAY(DATE(VALUE(LEFT(TO_TEXT(A782),4)),VALUE(MID(TO_TEXT(A782),5,2)),VALUE(RIGHT(TO_TEXT(A782),2))),F782),""yyyymmdd""))"),"")</f>
        <v/>
      </c>
      <c r="H782" s="34" t="str">
        <f t="shared" si="1"/>
        <v/>
      </c>
      <c r="I782" s="35"/>
      <c r="J782" s="35"/>
      <c r="K782" s="35"/>
    </row>
    <row r="783">
      <c r="A783" s="33"/>
      <c r="G783" s="33" t="str">
        <f>IFERROR(__xludf.DUMMYFUNCTION("IF(OR(A783="""",F783=""""),"""",TEXT(WORKDAY(DATE(VALUE(LEFT(TO_TEXT(A783),4)),VALUE(MID(TO_TEXT(A783),5,2)),VALUE(RIGHT(TO_TEXT(A783),2))),F783),""yyyymmdd""))"),"")</f>
        <v/>
      </c>
      <c r="H783" s="34" t="str">
        <f t="shared" si="1"/>
        <v/>
      </c>
      <c r="I783" s="35"/>
      <c r="J783" s="35"/>
      <c r="K783" s="35"/>
    </row>
    <row r="784">
      <c r="A784" s="33"/>
      <c r="G784" s="33" t="str">
        <f>IFERROR(__xludf.DUMMYFUNCTION("IF(OR(A784="""",F784=""""),"""",TEXT(WORKDAY(DATE(VALUE(LEFT(TO_TEXT(A784),4)),VALUE(MID(TO_TEXT(A784),5,2)),VALUE(RIGHT(TO_TEXT(A784),2))),F784),""yyyymmdd""))"),"")</f>
        <v/>
      </c>
      <c r="H784" s="34" t="str">
        <f t="shared" si="1"/>
        <v/>
      </c>
      <c r="I784" s="35"/>
      <c r="J784" s="35"/>
      <c r="K784" s="35"/>
    </row>
    <row r="785">
      <c r="A785" s="33"/>
      <c r="G785" s="33" t="str">
        <f>IFERROR(__xludf.DUMMYFUNCTION("IF(OR(A785="""",F785=""""),"""",TEXT(WORKDAY(DATE(VALUE(LEFT(TO_TEXT(A785),4)),VALUE(MID(TO_TEXT(A785),5,2)),VALUE(RIGHT(TO_TEXT(A785),2))),F785),""yyyymmdd""))"),"")</f>
        <v/>
      </c>
      <c r="H785" s="34" t="str">
        <f t="shared" si="1"/>
        <v/>
      </c>
      <c r="I785" s="35"/>
      <c r="J785" s="35"/>
      <c r="K785" s="35"/>
    </row>
    <row r="786">
      <c r="A786" s="33"/>
      <c r="G786" s="33" t="str">
        <f>IFERROR(__xludf.DUMMYFUNCTION("IF(OR(A786="""",F786=""""),"""",TEXT(WORKDAY(DATE(VALUE(LEFT(TO_TEXT(A786),4)),VALUE(MID(TO_TEXT(A786),5,2)),VALUE(RIGHT(TO_TEXT(A786),2))),F786),""yyyymmdd""))"),"")</f>
        <v/>
      </c>
      <c r="H786" s="34" t="str">
        <f t="shared" si="1"/>
        <v/>
      </c>
      <c r="I786" s="35"/>
      <c r="J786" s="35"/>
      <c r="K786" s="35"/>
    </row>
    <row r="787">
      <c r="A787" s="33"/>
      <c r="G787" s="33" t="str">
        <f>IFERROR(__xludf.DUMMYFUNCTION("IF(OR(A787="""",F787=""""),"""",TEXT(WORKDAY(DATE(VALUE(LEFT(TO_TEXT(A787),4)),VALUE(MID(TO_TEXT(A787),5,2)),VALUE(RIGHT(TO_TEXT(A787),2))),F787),""yyyymmdd""))"),"")</f>
        <v/>
      </c>
      <c r="H787" s="34" t="str">
        <f t="shared" si="1"/>
        <v/>
      </c>
      <c r="I787" s="35"/>
      <c r="J787" s="35"/>
      <c r="K787" s="35"/>
    </row>
    <row r="788">
      <c r="A788" s="33"/>
      <c r="G788" s="33" t="str">
        <f>IFERROR(__xludf.DUMMYFUNCTION("IF(OR(A788="""",F788=""""),"""",TEXT(WORKDAY(DATE(VALUE(LEFT(TO_TEXT(A788),4)),VALUE(MID(TO_TEXT(A788),5,2)),VALUE(RIGHT(TO_TEXT(A788),2))),F788),""yyyymmdd""))"),"")</f>
        <v/>
      </c>
      <c r="H788" s="34" t="str">
        <f t="shared" si="1"/>
        <v/>
      </c>
      <c r="I788" s="35"/>
      <c r="J788" s="35"/>
      <c r="K788" s="35"/>
    </row>
    <row r="789">
      <c r="A789" s="33"/>
      <c r="G789" s="33" t="str">
        <f>IFERROR(__xludf.DUMMYFUNCTION("IF(OR(A789="""",F789=""""),"""",TEXT(WORKDAY(DATE(VALUE(LEFT(TO_TEXT(A789),4)),VALUE(MID(TO_TEXT(A789),5,2)),VALUE(RIGHT(TO_TEXT(A789),2))),F789),""yyyymmdd""))"),"")</f>
        <v/>
      </c>
      <c r="H789" s="34" t="str">
        <f t="shared" si="1"/>
        <v/>
      </c>
      <c r="I789" s="35"/>
      <c r="J789" s="35"/>
      <c r="K789" s="35"/>
    </row>
    <row r="790">
      <c r="A790" s="33"/>
      <c r="G790" s="33" t="str">
        <f>IFERROR(__xludf.DUMMYFUNCTION("IF(OR(A790="""",F790=""""),"""",TEXT(WORKDAY(DATE(VALUE(LEFT(TO_TEXT(A790),4)),VALUE(MID(TO_TEXT(A790),5,2)),VALUE(RIGHT(TO_TEXT(A790),2))),F790),""yyyymmdd""))"),"")</f>
        <v/>
      </c>
      <c r="H790" s="34" t="str">
        <f t="shared" si="1"/>
        <v/>
      </c>
      <c r="I790" s="35"/>
      <c r="J790" s="35"/>
      <c r="K790" s="35"/>
    </row>
    <row r="791">
      <c r="A791" s="33"/>
      <c r="G791" s="33" t="str">
        <f>IFERROR(__xludf.DUMMYFUNCTION("IF(OR(A791="""",F791=""""),"""",TEXT(WORKDAY(DATE(VALUE(LEFT(TO_TEXT(A791),4)),VALUE(MID(TO_TEXT(A791),5,2)),VALUE(RIGHT(TO_TEXT(A791),2))),F791),""yyyymmdd""))"),"")</f>
        <v/>
      </c>
      <c r="H791" s="34" t="str">
        <f t="shared" si="1"/>
        <v/>
      </c>
      <c r="I791" s="35"/>
      <c r="J791" s="35"/>
      <c r="K791" s="35"/>
    </row>
    <row r="792">
      <c r="A792" s="33"/>
      <c r="G792" s="33" t="str">
        <f>IFERROR(__xludf.DUMMYFUNCTION("IF(OR(A792="""",F792=""""),"""",TEXT(WORKDAY(DATE(VALUE(LEFT(TO_TEXT(A792),4)),VALUE(MID(TO_TEXT(A792),5,2)),VALUE(RIGHT(TO_TEXT(A792),2))),F792),""yyyymmdd""))"),"")</f>
        <v/>
      </c>
      <c r="H792" s="34" t="str">
        <f t="shared" si="1"/>
        <v/>
      </c>
      <c r="I792" s="35"/>
      <c r="J792" s="35"/>
      <c r="K792" s="35"/>
    </row>
    <row r="793">
      <c r="A793" s="33"/>
      <c r="G793" s="33" t="str">
        <f>IFERROR(__xludf.DUMMYFUNCTION("IF(OR(A793="""",F793=""""),"""",TEXT(WORKDAY(DATE(VALUE(LEFT(TO_TEXT(A793),4)),VALUE(MID(TO_TEXT(A793),5,2)),VALUE(RIGHT(TO_TEXT(A793),2))),F793),""yyyymmdd""))"),"")</f>
        <v/>
      </c>
      <c r="H793" s="34" t="str">
        <f t="shared" si="1"/>
        <v/>
      </c>
      <c r="I793" s="35"/>
      <c r="J793" s="35"/>
      <c r="K793" s="35"/>
    </row>
    <row r="794">
      <c r="A794" s="33"/>
      <c r="G794" s="33" t="str">
        <f>IFERROR(__xludf.DUMMYFUNCTION("IF(OR(A794="""",F794=""""),"""",TEXT(WORKDAY(DATE(VALUE(LEFT(TO_TEXT(A794),4)),VALUE(MID(TO_TEXT(A794),5,2)),VALUE(RIGHT(TO_TEXT(A794),2))),F794),""yyyymmdd""))"),"")</f>
        <v/>
      </c>
      <c r="H794" s="34" t="str">
        <f t="shared" si="1"/>
        <v/>
      </c>
      <c r="I794" s="35"/>
      <c r="J794" s="35"/>
      <c r="K794" s="35"/>
    </row>
    <row r="795">
      <c r="A795" s="33"/>
      <c r="G795" s="33" t="str">
        <f>IFERROR(__xludf.DUMMYFUNCTION("IF(OR(A795="""",F795=""""),"""",TEXT(WORKDAY(DATE(VALUE(LEFT(TO_TEXT(A795),4)),VALUE(MID(TO_TEXT(A795),5,2)),VALUE(RIGHT(TO_TEXT(A795),2))),F795),""yyyymmdd""))"),"")</f>
        <v/>
      </c>
      <c r="H795" s="34" t="str">
        <f t="shared" si="1"/>
        <v/>
      </c>
      <c r="I795" s="35"/>
      <c r="J795" s="35"/>
      <c r="K795" s="35"/>
    </row>
    <row r="796">
      <c r="A796" s="33"/>
      <c r="G796" s="33" t="str">
        <f>IFERROR(__xludf.DUMMYFUNCTION("IF(OR(A796="""",F796=""""),"""",TEXT(WORKDAY(DATE(VALUE(LEFT(TO_TEXT(A796),4)),VALUE(MID(TO_TEXT(A796),5,2)),VALUE(RIGHT(TO_TEXT(A796),2))),F796),""yyyymmdd""))"),"")</f>
        <v/>
      </c>
      <c r="H796" s="34" t="str">
        <f t="shared" si="1"/>
        <v/>
      </c>
      <c r="I796" s="35"/>
      <c r="J796" s="35"/>
      <c r="K796" s="35"/>
    </row>
    <row r="797">
      <c r="A797" s="33"/>
      <c r="G797" s="33" t="str">
        <f>IFERROR(__xludf.DUMMYFUNCTION("IF(OR(A797="""",F797=""""),"""",TEXT(WORKDAY(DATE(VALUE(LEFT(TO_TEXT(A797),4)),VALUE(MID(TO_TEXT(A797),5,2)),VALUE(RIGHT(TO_TEXT(A797),2))),F797),""yyyymmdd""))"),"")</f>
        <v/>
      </c>
      <c r="H797" s="34" t="str">
        <f t="shared" si="1"/>
        <v/>
      </c>
      <c r="I797" s="35"/>
      <c r="J797" s="35"/>
      <c r="K797" s="35"/>
    </row>
    <row r="798">
      <c r="A798" s="33"/>
      <c r="G798" s="33" t="str">
        <f>IFERROR(__xludf.DUMMYFUNCTION("IF(OR(A798="""",F798=""""),"""",TEXT(WORKDAY(DATE(VALUE(LEFT(TO_TEXT(A798),4)),VALUE(MID(TO_TEXT(A798),5,2)),VALUE(RIGHT(TO_TEXT(A798),2))),F798),""yyyymmdd""))"),"")</f>
        <v/>
      </c>
      <c r="H798" s="34" t="str">
        <f t="shared" si="1"/>
        <v/>
      </c>
      <c r="I798" s="35"/>
      <c r="J798" s="35"/>
      <c r="K798" s="35"/>
    </row>
    <row r="799">
      <c r="A799" s="33"/>
      <c r="G799" s="33" t="str">
        <f>IFERROR(__xludf.DUMMYFUNCTION("IF(OR(A799="""",F799=""""),"""",TEXT(WORKDAY(DATE(VALUE(LEFT(TO_TEXT(A799),4)),VALUE(MID(TO_TEXT(A799),5,2)),VALUE(RIGHT(TO_TEXT(A799),2))),F799),""yyyymmdd""))"),"")</f>
        <v/>
      </c>
      <c r="H799" s="34" t="str">
        <f t="shared" si="1"/>
        <v/>
      </c>
      <c r="I799" s="35"/>
      <c r="J799" s="35"/>
      <c r="K799" s="35"/>
    </row>
    <row r="800">
      <c r="A800" s="33"/>
      <c r="G800" s="33" t="str">
        <f>IFERROR(__xludf.DUMMYFUNCTION("IF(OR(A800="""",F800=""""),"""",TEXT(WORKDAY(DATE(VALUE(LEFT(TO_TEXT(A800),4)),VALUE(MID(TO_TEXT(A800),5,2)),VALUE(RIGHT(TO_TEXT(A800),2))),F800),""yyyymmdd""))"),"")</f>
        <v/>
      </c>
      <c r="H800" s="34" t="str">
        <f t="shared" si="1"/>
        <v/>
      </c>
      <c r="I800" s="35"/>
      <c r="J800" s="35"/>
      <c r="K800" s="35"/>
    </row>
    <row r="801">
      <c r="A801" s="33"/>
      <c r="G801" s="33" t="str">
        <f>IFERROR(__xludf.DUMMYFUNCTION("IF(OR(A801="""",F801=""""),"""",TEXT(WORKDAY(DATE(VALUE(LEFT(TO_TEXT(A801),4)),VALUE(MID(TO_TEXT(A801),5,2)),VALUE(RIGHT(TO_TEXT(A801),2))),F801),""yyyymmdd""))"),"")</f>
        <v/>
      </c>
      <c r="H801" s="34" t="str">
        <f t="shared" si="1"/>
        <v/>
      </c>
      <c r="I801" s="35"/>
      <c r="J801" s="35"/>
      <c r="K801" s="35"/>
    </row>
    <row r="802">
      <c r="A802" s="33"/>
      <c r="G802" s="33" t="str">
        <f>IFERROR(__xludf.DUMMYFUNCTION("IF(OR(A802="""",F802=""""),"""",TEXT(WORKDAY(DATE(VALUE(LEFT(TO_TEXT(A802),4)),VALUE(MID(TO_TEXT(A802),5,2)),VALUE(RIGHT(TO_TEXT(A802),2))),F802),""yyyymmdd""))"),"")</f>
        <v/>
      </c>
      <c r="H802" s="34" t="str">
        <f t="shared" si="1"/>
        <v/>
      </c>
      <c r="I802" s="35"/>
      <c r="J802" s="35"/>
      <c r="K802" s="35"/>
    </row>
    <row r="803">
      <c r="A803" s="33"/>
      <c r="G803" s="33" t="str">
        <f>IFERROR(__xludf.DUMMYFUNCTION("IF(OR(A803="""",F803=""""),"""",TEXT(WORKDAY(DATE(VALUE(LEFT(TO_TEXT(A803),4)),VALUE(MID(TO_TEXT(A803),5,2)),VALUE(RIGHT(TO_TEXT(A803),2))),F803),""yyyymmdd""))"),"")</f>
        <v/>
      </c>
      <c r="H803" s="34" t="str">
        <f t="shared" si="1"/>
        <v/>
      </c>
      <c r="I803" s="35"/>
      <c r="J803" s="35"/>
      <c r="K803" s="35"/>
    </row>
    <row r="804">
      <c r="A804" s="33"/>
      <c r="G804" s="33" t="str">
        <f>IFERROR(__xludf.DUMMYFUNCTION("IF(OR(A804="""",F804=""""),"""",TEXT(WORKDAY(DATE(VALUE(LEFT(TO_TEXT(A804),4)),VALUE(MID(TO_TEXT(A804),5,2)),VALUE(RIGHT(TO_TEXT(A804),2))),F804),""yyyymmdd""))"),"")</f>
        <v/>
      </c>
      <c r="H804" s="34" t="str">
        <f t="shared" si="1"/>
        <v/>
      </c>
      <c r="I804" s="35"/>
      <c r="J804" s="35"/>
      <c r="K804" s="35"/>
    </row>
    <row r="805">
      <c r="A805" s="33"/>
      <c r="G805" s="33" t="str">
        <f>IFERROR(__xludf.DUMMYFUNCTION("IF(OR(A805="""",F805=""""),"""",TEXT(WORKDAY(DATE(VALUE(LEFT(TO_TEXT(A805),4)),VALUE(MID(TO_TEXT(A805),5,2)),VALUE(RIGHT(TO_TEXT(A805),2))),F805),""yyyymmdd""))"),"")</f>
        <v/>
      </c>
      <c r="H805" s="34" t="str">
        <f t="shared" si="1"/>
        <v/>
      </c>
      <c r="I805" s="35"/>
      <c r="J805" s="35"/>
      <c r="K805" s="35"/>
    </row>
    <row r="806">
      <c r="A806" s="33"/>
      <c r="G806" s="33" t="str">
        <f>IFERROR(__xludf.DUMMYFUNCTION("IF(OR(A806="""",F806=""""),"""",TEXT(WORKDAY(DATE(VALUE(LEFT(TO_TEXT(A806),4)),VALUE(MID(TO_TEXT(A806),5,2)),VALUE(RIGHT(TO_TEXT(A806),2))),F806),""yyyymmdd""))"),"")</f>
        <v/>
      </c>
      <c r="H806" s="34" t="str">
        <f t="shared" si="1"/>
        <v/>
      </c>
      <c r="I806" s="35"/>
      <c r="J806" s="35"/>
      <c r="K806" s="35"/>
    </row>
    <row r="807">
      <c r="A807" s="33"/>
      <c r="G807" s="33" t="str">
        <f>IFERROR(__xludf.DUMMYFUNCTION("IF(OR(A807="""",F807=""""),"""",TEXT(WORKDAY(DATE(VALUE(LEFT(TO_TEXT(A807),4)),VALUE(MID(TO_TEXT(A807),5,2)),VALUE(RIGHT(TO_TEXT(A807),2))),F807),""yyyymmdd""))"),"")</f>
        <v/>
      </c>
      <c r="H807" s="34" t="str">
        <f t="shared" si="1"/>
        <v/>
      </c>
      <c r="I807" s="35"/>
      <c r="J807" s="35"/>
      <c r="K807" s="35"/>
    </row>
    <row r="808">
      <c r="A808" s="33"/>
      <c r="G808" s="33" t="str">
        <f>IFERROR(__xludf.DUMMYFUNCTION("IF(OR(A808="""",F808=""""),"""",TEXT(WORKDAY(DATE(VALUE(LEFT(TO_TEXT(A808),4)),VALUE(MID(TO_TEXT(A808),5,2)),VALUE(RIGHT(TO_TEXT(A808),2))),F808),""yyyymmdd""))"),"")</f>
        <v/>
      </c>
      <c r="H808" s="34" t="str">
        <f t="shared" si="1"/>
        <v/>
      </c>
      <c r="I808" s="35"/>
      <c r="J808" s="35"/>
      <c r="K808" s="35"/>
    </row>
    <row r="809">
      <c r="A809" s="33"/>
      <c r="G809" s="33" t="str">
        <f>IFERROR(__xludf.DUMMYFUNCTION("IF(OR(A809="""",F809=""""),"""",TEXT(WORKDAY(DATE(VALUE(LEFT(TO_TEXT(A809),4)),VALUE(MID(TO_TEXT(A809),5,2)),VALUE(RIGHT(TO_TEXT(A809),2))),F809),""yyyymmdd""))"),"")</f>
        <v/>
      </c>
      <c r="H809" s="34" t="str">
        <f t="shared" si="1"/>
        <v/>
      </c>
      <c r="I809" s="35"/>
      <c r="J809" s="35"/>
      <c r="K809" s="35"/>
    </row>
    <row r="810">
      <c r="A810" s="33"/>
      <c r="G810" s="33" t="str">
        <f>IFERROR(__xludf.DUMMYFUNCTION("IF(OR(A810="""",F810=""""),"""",TEXT(WORKDAY(DATE(VALUE(LEFT(TO_TEXT(A810),4)),VALUE(MID(TO_TEXT(A810),5,2)),VALUE(RIGHT(TO_TEXT(A810),2))),F810),""yyyymmdd""))"),"")</f>
        <v/>
      </c>
      <c r="H810" s="34" t="str">
        <f t="shared" si="1"/>
        <v/>
      </c>
      <c r="I810" s="35"/>
      <c r="J810" s="35"/>
      <c r="K810" s="35"/>
    </row>
    <row r="811">
      <c r="A811" s="33"/>
      <c r="G811" s="33" t="str">
        <f>IFERROR(__xludf.DUMMYFUNCTION("IF(OR(A811="""",F811=""""),"""",TEXT(WORKDAY(DATE(VALUE(LEFT(TO_TEXT(A811),4)),VALUE(MID(TO_TEXT(A811),5,2)),VALUE(RIGHT(TO_TEXT(A811),2))),F811),""yyyymmdd""))"),"")</f>
        <v/>
      </c>
      <c r="H811" s="34" t="str">
        <f t="shared" si="1"/>
        <v/>
      </c>
      <c r="I811" s="35"/>
      <c r="J811" s="35"/>
      <c r="K811" s="35"/>
    </row>
    <row r="812">
      <c r="A812" s="33"/>
      <c r="G812" s="33" t="str">
        <f>IFERROR(__xludf.DUMMYFUNCTION("IF(OR(A812="""",F812=""""),"""",TEXT(WORKDAY(DATE(VALUE(LEFT(TO_TEXT(A812),4)),VALUE(MID(TO_TEXT(A812),5,2)),VALUE(RIGHT(TO_TEXT(A812),2))),F812),""yyyymmdd""))"),"")</f>
        <v/>
      </c>
      <c r="H812" s="34" t="str">
        <f t="shared" si="1"/>
        <v/>
      </c>
      <c r="I812" s="35"/>
      <c r="J812" s="35"/>
      <c r="K812" s="35"/>
    </row>
    <row r="813">
      <c r="A813" s="33"/>
      <c r="G813" s="33" t="str">
        <f>IFERROR(__xludf.DUMMYFUNCTION("IF(OR(A813="""",F813=""""),"""",TEXT(WORKDAY(DATE(VALUE(LEFT(TO_TEXT(A813),4)),VALUE(MID(TO_TEXT(A813),5,2)),VALUE(RIGHT(TO_TEXT(A813),2))),F813),""yyyymmdd""))"),"")</f>
        <v/>
      </c>
      <c r="H813" s="34" t="str">
        <f t="shared" si="1"/>
        <v/>
      </c>
      <c r="I813" s="35"/>
      <c r="J813" s="35"/>
      <c r="K813" s="35"/>
    </row>
    <row r="814">
      <c r="A814" s="33"/>
      <c r="G814" s="33" t="str">
        <f>IFERROR(__xludf.DUMMYFUNCTION("IF(OR(A814="""",F814=""""),"""",TEXT(WORKDAY(DATE(VALUE(LEFT(TO_TEXT(A814),4)),VALUE(MID(TO_TEXT(A814),5,2)),VALUE(RIGHT(TO_TEXT(A814),2))),F814),""yyyymmdd""))"),"")</f>
        <v/>
      </c>
      <c r="H814" s="34" t="str">
        <f t="shared" si="1"/>
        <v/>
      </c>
      <c r="I814" s="35"/>
      <c r="J814" s="35"/>
      <c r="K814" s="35"/>
    </row>
    <row r="815">
      <c r="A815" s="33"/>
      <c r="G815" s="33" t="str">
        <f>IFERROR(__xludf.DUMMYFUNCTION("IF(OR(A815="""",F815=""""),"""",TEXT(WORKDAY(DATE(VALUE(LEFT(TO_TEXT(A815),4)),VALUE(MID(TO_TEXT(A815),5,2)),VALUE(RIGHT(TO_TEXT(A815),2))),F815),""yyyymmdd""))"),"")</f>
        <v/>
      </c>
      <c r="H815" s="34" t="str">
        <f t="shared" si="1"/>
        <v/>
      </c>
      <c r="I815" s="35"/>
      <c r="J815" s="35"/>
      <c r="K815" s="35"/>
    </row>
    <row r="816">
      <c r="A816" s="33"/>
      <c r="G816" s="33" t="str">
        <f>IFERROR(__xludf.DUMMYFUNCTION("IF(OR(A816="""",F816=""""),"""",TEXT(WORKDAY(DATE(VALUE(LEFT(TO_TEXT(A816),4)),VALUE(MID(TO_TEXT(A816),5,2)),VALUE(RIGHT(TO_TEXT(A816),2))),F816),""yyyymmdd""))"),"")</f>
        <v/>
      </c>
      <c r="H816" s="34" t="str">
        <f t="shared" si="1"/>
        <v/>
      </c>
      <c r="I816" s="35"/>
      <c r="J816" s="35"/>
      <c r="K816" s="35"/>
    </row>
    <row r="817">
      <c r="A817" s="33"/>
      <c r="G817" s="33" t="str">
        <f>IFERROR(__xludf.DUMMYFUNCTION("IF(OR(A817="""",F817=""""),"""",TEXT(WORKDAY(DATE(VALUE(LEFT(TO_TEXT(A817),4)),VALUE(MID(TO_TEXT(A817),5,2)),VALUE(RIGHT(TO_TEXT(A817),2))),F817),""yyyymmdd""))"),"")</f>
        <v/>
      </c>
      <c r="H817" s="34" t="str">
        <f t="shared" si="1"/>
        <v/>
      </c>
      <c r="I817" s="35"/>
      <c r="J817" s="35"/>
      <c r="K817" s="35"/>
    </row>
    <row r="818">
      <c r="A818" s="33"/>
      <c r="G818" s="33" t="str">
        <f>IFERROR(__xludf.DUMMYFUNCTION("IF(OR(A818="""",F818=""""),"""",TEXT(WORKDAY(DATE(VALUE(LEFT(TO_TEXT(A818),4)),VALUE(MID(TO_TEXT(A818),5,2)),VALUE(RIGHT(TO_TEXT(A818),2))),F818),""yyyymmdd""))"),"")</f>
        <v/>
      </c>
      <c r="H818" s="34" t="str">
        <f t="shared" si="1"/>
        <v/>
      </c>
      <c r="I818" s="35"/>
      <c r="J818" s="35"/>
      <c r="K818" s="35"/>
    </row>
    <row r="819">
      <c r="A819" s="33"/>
      <c r="G819" s="33" t="str">
        <f>IFERROR(__xludf.DUMMYFUNCTION("IF(OR(A819="""",F819=""""),"""",TEXT(WORKDAY(DATE(VALUE(LEFT(TO_TEXT(A819),4)),VALUE(MID(TO_TEXT(A819),5,2)),VALUE(RIGHT(TO_TEXT(A819),2))),F819),""yyyymmdd""))"),"")</f>
        <v/>
      </c>
      <c r="H819" s="34" t="str">
        <f t="shared" si="1"/>
        <v/>
      </c>
      <c r="I819" s="35"/>
      <c r="J819" s="35"/>
      <c r="K819" s="35"/>
    </row>
    <row r="820">
      <c r="A820" s="33"/>
      <c r="G820" s="33" t="str">
        <f>IFERROR(__xludf.DUMMYFUNCTION("IF(OR(A820="""",F820=""""),"""",TEXT(WORKDAY(DATE(VALUE(LEFT(TO_TEXT(A820),4)),VALUE(MID(TO_TEXT(A820),5,2)),VALUE(RIGHT(TO_TEXT(A820),2))),F820),""yyyymmdd""))"),"")</f>
        <v/>
      </c>
      <c r="H820" s="34" t="str">
        <f t="shared" si="1"/>
        <v/>
      </c>
      <c r="I820" s="35"/>
      <c r="J820" s="35"/>
      <c r="K820" s="35"/>
    </row>
    <row r="821">
      <c r="A821" s="33"/>
      <c r="G821" s="33" t="str">
        <f>IFERROR(__xludf.DUMMYFUNCTION("IF(OR(A821="""",F821=""""),"""",TEXT(WORKDAY(DATE(VALUE(LEFT(TO_TEXT(A821),4)),VALUE(MID(TO_TEXT(A821),5,2)),VALUE(RIGHT(TO_TEXT(A821),2))),F821),""yyyymmdd""))"),"")</f>
        <v/>
      </c>
      <c r="H821" s="34" t="str">
        <f t="shared" si="1"/>
        <v/>
      </c>
      <c r="I821" s="35"/>
      <c r="J821" s="35"/>
      <c r="K821" s="35"/>
    </row>
    <row r="822">
      <c r="A822" s="33"/>
      <c r="G822" s="33" t="str">
        <f>IFERROR(__xludf.DUMMYFUNCTION("IF(OR(A822="""",F822=""""),"""",TEXT(WORKDAY(DATE(VALUE(LEFT(TO_TEXT(A822),4)),VALUE(MID(TO_TEXT(A822),5,2)),VALUE(RIGHT(TO_TEXT(A822),2))),F822),""yyyymmdd""))"),"")</f>
        <v/>
      </c>
      <c r="H822" s="34" t="str">
        <f t="shared" si="1"/>
        <v/>
      </c>
      <c r="I822" s="35"/>
      <c r="J822" s="35"/>
      <c r="K822" s="35"/>
    </row>
    <row r="823">
      <c r="A823" s="33"/>
      <c r="G823" s="33" t="str">
        <f>IFERROR(__xludf.DUMMYFUNCTION("IF(OR(A823="""",F823=""""),"""",TEXT(WORKDAY(DATE(VALUE(LEFT(TO_TEXT(A823),4)),VALUE(MID(TO_TEXT(A823),5,2)),VALUE(RIGHT(TO_TEXT(A823),2))),F823),""yyyymmdd""))"),"")</f>
        <v/>
      </c>
      <c r="H823" s="34" t="str">
        <f t="shared" si="1"/>
        <v/>
      </c>
      <c r="I823" s="35"/>
      <c r="J823" s="35"/>
      <c r="K823" s="35"/>
    </row>
    <row r="824">
      <c r="A824" s="33"/>
      <c r="G824" s="33" t="str">
        <f>IFERROR(__xludf.DUMMYFUNCTION("IF(OR(A824="""",F824=""""),"""",TEXT(WORKDAY(DATE(VALUE(LEFT(TO_TEXT(A824),4)),VALUE(MID(TO_TEXT(A824),5,2)),VALUE(RIGHT(TO_TEXT(A824),2))),F824),""yyyymmdd""))"),"")</f>
        <v/>
      </c>
      <c r="H824" s="34" t="str">
        <f t="shared" si="1"/>
        <v/>
      </c>
      <c r="I824" s="35"/>
      <c r="J824" s="35"/>
      <c r="K824" s="35"/>
    </row>
    <row r="825">
      <c r="A825" s="33"/>
      <c r="G825" s="33" t="str">
        <f>IFERROR(__xludf.DUMMYFUNCTION("IF(OR(A825="""",F825=""""),"""",TEXT(WORKDAY(DATE(VALUE(LEFT(TO_TEXT(A825),4)),VALUE(MID(TO_TEXT(A825),5,2)),VALUE(RIGHT(TO_TEXT(A825),2))),F825),""yyyymmdd""))"),"")</f>
        <v/>
      </c>
      <c r="H825" s="34" t="str">
        <f t="shared" si="1"/>
        <v/>
      </c>
      <c r="I825" s="35"/>
      <c r="J825" s="35"/>
      <c r="K825" s="35"/>
    </row>
    <row r="826">
      <c r="A826" s="33"/>
      <c r="G826" s="33" t="str">
        <f>IFERROR(__xludf.DUMMYFUNCTION("IF(OR(A826="""",F826=""""),"""",TEXT(WORKDAY(DATE(VALUE(LEFT(TO_TEXT(A826),4)),VALUE(MID(TO_TEXT(A826),5,2)),VALUE(RIGHT(TO_TEXT(A826),2))),F826),""yyyymmdd""))"),"")</f>
        <v/>
      </c>
      <c r="H826" s="34" t="str">
        <f t="shared" si="1"/>
        <v/>
      </c>
      <c r="I826" s="35"/>
      <c r="J826" s="35"/>
      <c r="K826" s="35"/>
    </row>
    <row r="827">
      <c r="A827" s="33"/>
      <c r="G827" s="33" t="str">
        <f>IFERROR(__xludf.DUMMYFUNCTION("IF(OR(A827="""",F827=""""),"""",TEXT(WORKDAY(DATE(VALUE(LEFT(TO_TEXT(A827),4)),VALUE(MID(TO_TEXT(A827),5,2)),VALUE(RIGHT(TO_TEXT(A827),2))),F827),""yyyymmdd""))"),"")</f>
        <v/>
      </c>
      <c r="H827" s="34" t="str">
        <f t="shared" si="1"/>
        <v/>
      </c>
      <c r="I827" s="35"/>
      <c r="J827" s="35"/>
      <c r="K827" s="35"/>
    </row>
    <row r="828">
      <c r="A828" s="33"/>
      <c r="G828" s="33" t="str">
        <f>IFERROR(__xludf.DUMMYFUNCTION("IF(OR(A828="""",F828=""""),"""",TEXT(WORKDAY(DATE(VALUE(LEFT(TO_TEXT(A828),4)),VALUE(MID(TO_TEXT(A828),5,2)),VALUE(RIGHT(TO_TEXT(A828),2))),F828),""yyyymmdd""))"),"")</f>
        <v/>
      </c>
      <c r="H828" s="34" t="str">
        <f t="shared" si="1"/>
        <v/>
      </c>
      <c r="I828" s="35"/>
      <c r="J828" s="35"/>
      <c r="K828" s="35"/>
    </row>
    <row r="829">
      <c r="A829" s="33"/>
      <c r="G829" s="33" t="str">
        <f>IFERROR(__xludf.DUMMYFUNCTION("IF(OR(A829="""",F829=""""),"""",TEXT(WORKDAY(DATE(VALUE(LEFT(TO_TEXT(A829),4)),VALUE(MID(TO_TEXT(A829),5,2)),VALUE(RIGHT(TO_TEXT(A829),2))),F829),""yyyymmdd""))"),"")</f>
        <v/>
      </c>
      <c r="H829" s="34" t="str">
        <f t="shared" si="1"/>
        <v/>
      </c>
      <c r="I829" s="35"/>
      <c r="J829" s="35"/>
      <c r="K829" s="35"/>
    </row>
    <row r="830">
      <c r="A830" s="33"/>
      <c r="G830" s="33" t="str">
        <f>IFERROR(__xludf.DUMMYFUNCTION("IF(OR(A830="""",F830=""""),"""",TEXT(WORKDAY(DATE(VALUE(LEFT(TO_TEXT(A830),4)),VALUE(MID(TO_TEXT(A830),5,2)),VALUE(RIGHT(TO_TEXT(A830),2))),F830),""yyyymmdd""))"),"")</f>
        <v/>
      </c>
      <c r="H830" s="34" t="str">
        <f t="shared" si="1"/>
        <v/>
      </c>
      <c r="I830" s="35"/>
      <c r="J830" s="35"/>
      <c r="K830" s="35"/>
    </row>
    <row r="831">
      <c r="A831" s="33"/>
      <c r="G831" s="33" t="str">
        <f>IFERROR(__xludf.DUMMYFUNCTION("IF(OR(A831="""",F831=""""),"""",TEXT(WORKDAY(DATE(VALUE(LEFT(TO_TEXT(A831),4)),VALUE(MID(TO_TEXT(A831),5,2)),VALUE(RIGHT(TO_TEXT(A831),2))),F831),""yyyymmdd""))"),"")</f>
        <v/>
      </c>
      <c r="H831" s="34" t="str">
        <f t="shared" si="1"/>
        <v/>
      </c>
      <c r="I831" s="35"/>
      <c r="J831" s="35"/>
      <c r="K831" s="35"/>
    </row>
    <row r="832">
      <c r="A832" s="33"/>
      <c r="G832" s="33" t="str">
        <f>IFERROR(__xludf.DUMMYFUNCTION("IF(OR(A832="""",F832=""""),"""",TEXT(WORKDAY(DATE(VALUE(LEFT(TO_TEXT(A832),4)),VALUE(MID(TO_TEXT(A832),5,2)),VALUE(RIGHT(TO_TEXT(A832),2))),F832),""yyyymmdd""))"),"")</f>
        <v/>
      </c>
      <c r="H832" s="34" t="str">
        <f t="shared" si="1"/>
        <v/>
      </c>
      <c r="I832" s="35"/>
      <c r="J832" s="35"/>
      <c r="K832" s="35"/>
    </row>
    <row r="833">
      <c r="A833" s="33"/>
      <c r="G833" s="33" t="str">
        <f>IFERROR(__xludf.DUMMYFUNCTION("IF(OR(A833="""",F833=""""),"""",TEXT(WORKDAY(DATE(VALUE(LEFT(TO_TEXT(A833),4)),VALUE(MID(TO_TEXT(A833),5,2)),VALUE(RIGHT(TO_TEXT(A833),2))),F833),""yyyymmdd""))"),"")</f>
        <v/>
      </c>
      <c r="H833" s="34" t="str">
        <f t="shared" si="1"/>
        <v/>
      </c>
      <c r="I833" s="35"/>
      <c r="J833" s="35"/>
      <c r="K833" s="35"/>
    </row>
    <row r="834">
      <c r="A834" s="33"/>
      <c r="G834" s="33" t="str">
        <f>IFERROR(__xludf.DUMMYFUNCTION("IF(OR(A834="""",F834=""""),"""",TEXT(WORKDAY(DATE(VALUE(LEFT(TO_TEXT(A834),4)),VALUE(MID(TO_TEXT(A834),5,2)),VALUE(RIGHT(TO_TEXT(A834),2))),F834),""yyyymmdd""))"),"")</f>
        <v/>
      </c>
      <c r="H834" s="34" t="str">
        <f t="shared" si="1"/>
        <v/>
      </c>
      <c r="I834" s="35"/>
      <c r="J834" s="35"/>
      <c r="K834" s="35"/>
    </row>
    <row r="835">
      <c r="A835" s="33"/>
      <c r="G835" s="33" t="str">
        <f>IFERROR(__xludf.DUMMYFUNCTION("IF(OR(A835="""",F835=""""),"""",TEXT(WORKDAY(DATE(VALUE(LEFT(TO_TEXT(A835),4)),VALUE(MID(TO_TEXT(A835),5,2)),VALUE(RIGHT(TO_TEXT(A835),2))),F835),""yyyymmdd""))"),"")</f>
        <v/>
      </c>
      <c r="H835" s="34" t="str">
        <f t="shared" si="1"/>
        <v/>
      </c>
      <c r="I835" s="35"/>
      <c r="J835" s="35"/>
      <c r="K835" s="35"/>
    </row>
    <row r="836">
      <c r="A836" s="33"/>
      <c r="G836" s="33" t="str">
        <f>IFERROR(__xludf.DUMMYFUNCTION("IF(OR(A836="""",F836=""""),"""",TEXT(WORKDAY(DATE(VALUE(LEFT(TO_TEXT(A836),4)),VALUE(MID(TO_TEXT(A836),5,2)),VALUE(RIGHT(TO_TEXT(A836),2))),F836),""yyyymmdd""))"),"")</f>
        <v/>
      </c>
      <c r="H836" s="34" t="str">
        <f t="shared" si="1"/>
        <v/>
      </c>
      <c r="I836" s="35"/>
      <c r="J836" s="35"/>
      <c r="K836" s="35"/>
    </row>
    <row r="837">
      <c r="A837" s="33"/>
      <c r="G837" s="33" t="str">
        <f>IFERROR(__xludf.DUMMYFUNCTION("IF(OR(A837="""",F837=""""),"""",TEXT(WORKDAY(DATE(VALUE(LEFT(TO_TEXT(A837),4)),VALUE(MID(TO_TEXT(A837),5,2)),VALUE(RIGHT(TO_TEXT(A837),2))),F837),""yyyymmdd""))"),"")</f>
        <v/>
      </c>
      <c r="H837" s="34" t="str">
        <f t="shared" si="1"/>
        <v/>
      </c>
      <c r="I837" s="35"/>
      <c r="J837" s="35"/>
      <c r="K837" s="35"/>
    </row>
    <row r="838">
      <c r="A838" s="33"/>
      <c r="G838" s="33" t="str">
        <f>IFERROR(__xludf.DUMMYFUNCTION("IF(OR(A838="""",F838=""""),"""",TEXT(WORKDAY(DATE(VALUE(LEFT(TO_TEXT(A838),4)),VALUE(MID(TO_TEXT(A838),5,2)),VALUE(RIGHT(TO_TEXT(A838),2))),F838),""yyyymmdd""))"),"")</f>
        <v/>
      </c>
      <c r="H838" s="34" t="str">
        <f t="shared" si="1"/>
        <v/>
      </c>
      <c r="I838" s="35"/>
      <c r="J838" s="35"/>
      <c r="K838" s="35"/>
    </row>
    <row r="839">
      <c r="A839" s="33"/>
      <c r="G839" s="33" t="str">
        <f>IFERROR(__xludf.DUMMYFUNCTION("IF(OR(A839="""",F839=""""),"""",TEXT(WORKDAY(DATE(VALUE(LEFT(TO_TEXT(A839),4)),VALUE(MID(TO_TEXT(A839),5,2)),VALUE(RIGHT(TO_TEXT(A839),2))),F839),""yyyymmdd""))"),"")</f>
        <v/>
      </c>
      <c r="H839" s="34" t="str">
        <f t="shared" si="1"/>
        <v/>
      </c>
      <c r="I839" s="35"/>
      <c r="J839" s="35"/>
      <c r="K839" s="35"/>
    </row>
    <row r="840">
      <c r="A840" s="33"/>
      <c r="G840" s="33" t="str">
        <f>IFERROR(__xludf.DUMMYFUNCTION("IF(OR(A840="""",F840=""""),"""",TEXT(WORKDAY(DATE(VALUE(LEFT(TO_TEXT(A840),4)),VALUE(MID(TO_TEXT(A840),5,2)),VALUE(RIGHT(TO_TEXT(A840),2))),F840),""yyyymmdd""))"),"")</f>
        <v/>
      </c>
      <c r="H840" s="34" t="str">
        <f t="shared" si="1"/>
        <v/>
      </c>
      <c r="I840" s="35"/>
      <c r="J840" s="35"/>
      <c r="K840" s="35"/>
    </row>
    <row r="841">
      <c r="A841" s="33"/>
      <c r="G841" s="33" t="str">
        <f>IFERROR(__xludf.DUMMYFUNCTION("IF(OR(A841="""",F841=""""),"""",TEXT(WORKDAY(DATE(VALUE(LEFT(TO_TEXT(A841),4)),VALUE(MID(TO_TEXT(A841),5,2)),VALUE(RIGHT(TO_TEXT(A841),2))),F841),""yyyymmdd""))"),"")</f>
        <v/>
      </c>
      <c r="H841" s="34" t="str">
        <f t="shared" si="1"/>
        <v/>
      </c>
      <c r="I841" s="35"/>
      <c r="J841" s="35"/>
      <c r="K841" s="35"/>
    </row>
    <row r="842">
      <c r="A842" s="33"/>
      <c r="G842" s="33" t="str">
        <f>IFERROR(__xludf.DUMMYFUNCTION("IF(OR(A842="""",F842=""""),"""",TEXT(WORKDAY(DATE(VALUE(LEFT(TO_TEXT(A842),4)),VALUE(MID(TO_TEXT(A842),5,2)),VALUE(RIGHT(TO_TEXT(A842),2))),F842),""yyyymmdd""))"),"")</f>
        <v/>
      </c>
      <c r="H842" s="34" t="str">
        <f t="shared" si="1"/>
        <v/>
      </c>
      <c r="I842" s="35"/>
      <c r="J842" s="35"/>
      <c r="K842" s="35"/>
    </row>
    <row r="843">
      <c r="A843" s="33"/>
      <c r="G843" s="33" t="str">
        <f>IFERROR(__xludf.DUMMYFUNCTION("IF(OR(A843="""",F843=""""),"""",TEXT(WORKDAY(DATE(VALUE(LEFT(TO_TEXT(A843),4)),VALUE(MID(TO_TEXT(A843),5,2)),VALUE(RIGHT(TO_TEXT(A843),2))),F843),""yyyymmdd""))"),"")</f>
        <v/>
      </c>
      <c r="H843" s="34" t="str">
        <f t="shared" si="1"/>
        <v/>
      </c>
      <c r="I843" s="35"/>
      <c r="J843" s="35"/>
      <c r="K843" s="35"/>
    </row>
    <row r="844">
      <c r="A844" s="33"/>
      <c r="G844" s="33" t="str">
        <f>IFERROR(__xludf.DUMMYFUNCTION("IF(OR(A844="""",F844=""""),"""",TEXT(WORKDAY(DATE(VALUE(LEFT(TO_TEXT(A844),4)),VALUE(MID(TO_TEXT(A844),5,2)),VALUE(RIGHT(TO_TEXT(A844),2))),F844),""yyyymmdd""))"),"")</f>
        <v/>
      </c>
      <c r="H844" s="34" t="str">
        <f t="shared" si="1"/>
        <v/>
      </c>
      <c r="I844" s="35"/>
      <c r="J844" s="35"/>
      <c r="K844" s="35"/>
    </row>
    <row r="845">
      <c r="A845" s="33"/>
      <c r="G845" s="33" t="str">
        <f>IFERROR(__xludf.DUMMYFUNCTION("IF(OR(A845="""",F845=""""),"""",TEXT(WORKDAY(DATE(VALUE(LEFT(TO_TEXT(A845),4)),VALUE(MID(TO_TEXT(A845),5,2)),VALUE(RIGHT(TO_TEXT(A845),2))),F845),""yyyymmdd""))"),"")</f>
        <v/>
      </c>
      <c r="H845" s="34" t="str">
        <f t="shared" si="1"/>
        <v/>
      </c>
      <c r="I845" s="35"/>
      <c r="J845" s="35"/>
      <c r="K845" s="35"/>
    </row>
    <row r="846">
      <c r="A846" s="33"/>
      <c r="G846" s="33" t="str">
        <f>IFERROR(__xludf.DUMMYFUNCTION("IF(OR(A846="""",F846=""""),"""",TEXT(WORKDAY(DATE(VALUE(LEFT(TO_TEXT(A846),4)),VALUE(MID(TO_TEXT(A846),5,2)),VALUE(RIGHT(TO_TEXT(A846),2))),F846),""yyyymmdd""))"),"")</f>
        <v/>
      </c>
      <c r="H846" s="34" t="str">
        <f t="shared" si="1"/>
        <v/>
      </c>
      <c r="I846" s="35"/>
      <c r="J846" s="35"/>
      <c r="K846" s="35"/>
    </row>
    <row r="847">
      <c r="A847" s="33"/>
      <c r="G847" s="33" t="str">
        <f>IFERROR(__xludf.DUMMYFUNCTION("IF(OR(A847="""",F847=""""),"""",TEXT(WORKDAY(DATE(VALUE(LEFT(TO_TEXT(A847),4)),VALUE(MID(TO_TEXT(A847),5,2)),VALUE(RIGHT(TO_TEXT(A847),2))),F847),""yyyymmdd""))"),"")</f>
        <v/>
      </c>
      <c r="H847" s="34" t="str">
        <f t="shared" si="1"/>
        <v/>
      </c>
      <c r="I847" s="35"/>
      <c r="J847" s="35"/>
      <c r="K847" s="35"/>
    </row>
    <row r="848">
      <c r="A848" s="33"/>
      <c r="G848" s="33" t="str">
        <f>IFERROR(__xludf.DUMMYFUNCTION("IF(OR(A848="""",F848=""""),"""",TEXT(WORKDAY(DATE(VALUE(LEFT(TO_TEXT(A848),4)),VALUE(MID(TO_TEXT(A848),5,2)),VALUE(RIGHT(TO_TEXT(A848),2))),F848),""yyyymmdd""))"),"")</f>
        <v/>
      </c>
      <c r="H848" s="34" t="str">
        <f t="shared" si="1"/>
        <v/>
      </c>
      <c r="I848" s="35"/>
      <c r="J848" s="35"/>
      <c r="K848" s="35"/>
    </row>
    <row r="849">
      <c r="A849" s="33"/>
      <c r="G849" s="33" t="str">
        <f>IFERROR(__xludf.DUMMYFUNCTION("IF(OR(A849="""",F849=""""),"""",TEXT(WORKDAY(DATE(VALUE(LEFT(TO_TEXT(A849),4)),VALUE(MID(TO_TEXT(A849),5,2)),VALUE(RIGHT(TO_TEXT(A849),2))),F849),""yyyymmdd""))"),"")</f>
        <v/>
      </c>
      <c r="H849" s="34" t="str">
        <f t="shared" si="1"/>
        <v/>
      </c>
      <c r="I849" s="35"/>
      <c r="J849" s="35"/>
      <c r="K849" s="35"/>
    </row>
    <row r="850">
      <c r="A850" s="33"/>
      <c r="G850" s="33" t="str">
        <f>IFERROR(__xludf.DUMMYFUNCTION("IF(OR(A850="""",F850=""""),"""",TEXT(WORKDAY(DATE(VALUE(LEFT(TO_TEXT(A850),4)),VALUE(MID(TO_TEXT(A850),5,2)),VALUE(RIGHT(TO_TEXT(A850),2))),F850),""yyyymmdd""))"),"")</f>
        <v/>
      </c>
      <c r="H850" s="34" t="str">
        <f t="shared" si="1"/>
        <v/>
      </c>
      <c r="I850" s="35"/>
      <c r="J850" s="35"/>
      <c r="K850" s="35"/>
    </row>
    <row r="851">
      <c r="A851" s="33"/>
      <c r="G851" s="33" t="str">
        <f>IFERROR(__xludf.DUMMYFUNCTION("IF(OR(A851="""",F851=""""),"""",TEXT(WORKDAY(DATE(VALUE(LEFT(TO_TEXT(A851),4)),VALUE(MID(TO_TEXT(A851),5,2)),VALUE(RIGHT(TO_TEXT(A851),2))),F851),""yyyymmdd""))"),"")</f>
        <v/>
      </c>
      <c r="H851" s="34" t="str">
        <f t="shared" si="1"/>
        <v/>
      </c>
      <c r="I851" s="35"/>
      <c r="J851" s="35"/>
      <c r="K851" s="35"/>
    </row>
    <row r="852">
      <c r="A852" s="33"/>
      <c r="G852" s="33" t="str">
        <f>IFERROR(__xludf.DUMMYFUNCTION("IF(OR(A852="""",F852=""""),"""",TEXT(WORKDAY(DATE(VALUE(LEFT(TO_TEXT(A852),4)),VALUE(MID(TO_TEXT(A852),5,2)),VALUE(RIGHT(TO_TEXT(A852),2))),F852),""yyyymmdd""))"),"")</f>
        <v/>
      </c>
      <c r="H852" s="34" t="str">
        <f t="shared" si="1"/>
        <v/>
      </c>
      <c r="I852" s="35"/>
      <c r="J852" s="35"/>
      <c r="K852" s="35"/>
    </row>
    <row r="853">
      <c r="A853" s="33"/>
      <c r="G853" s="33" t="str">
        <f>IFERROR(__xludf.DUMMYFUNCTION("IF(OR(A853="""",F853=""""),"""",TEXT(WORKDAY(DATE(VALUE(LEFT(TO_TEXT(A853),4)),VALUE(MID(TO_TEXT(A853),5,2)),VALUE(RIGHT(TO_TEXT(A853),2))),F853),""yyyymmdd""))"),"")</f>
        <v/>
      </c>
      <c r="H853" s="34" t="str">
        <f t="shared" si="1"/>
        <v/>
      </c>
      <c r="I853" s="35"/>
      <c r="J853" s="35"/>
      <c r="K853" s="35"/>
    </row>
    <row r="854">
      <c r="A854" s="33"/>
      <c r="G854" s="33" t="str">
        <f>IFERROR(__xludf.DUMMYFUNCTION("IF(OR(A854="""",F854=""""),"""",TEXT(WORKDAY(DATE(VALUE(LEFT(TO_TEXT(A854),4)),VALUE(MID(TO_TEXT(A854),5,2)),VALUE(RIGHT(TO_TEXT(A854),2))),F854),""yyyymmdd""))"),"")</f>
        <v/>
      </c>
      <c r="H854" s="34" t="str">
        <f t="shared" si="1"/>
        <v/>
      </c>
      <c r="I854" s="35"/>
      <c r="J854" s="35"/>
      <c r="K854" s="35"/>
    </row>
    <row r="855">
      <c r="A855" s="33"/>
      <c r="G855" s="33" t="str">
        <f>IFERROR(__xludf.DUMMYFUNCTION("IF(OR(A855="""",F855=""""),"""",TEXT(WORKDAY(DATE(VALUE(LEFT(TO_TEXT(A855),4)),VALUE(MID(TO_TEXT(A855),5,2)),VALUE(RIGHT(TO_TEXT(A855),2))),F855),""yyyymmdd""))"),"")</f>
        <v/>
      </c>
      <c r="H855" s="34" t="str">
        <f t="shared" si="1"/>
        <v/>
      </c>
      <c r="I855" s="35"/>
      <c r="J855" s="35"/>
      <c r="K855" s="35"/>
    </row>
    <row r="856">
      <c r="A856" s="33"/>
      <c r="G856" s="33" t="str">
        <f>IFERROR(__xludf.DUMMYFUNCTION("IF(OR(A856="""",F856=""""),"""",TEXT(WORKDAY(DATE(VALUE(LEFT(TO_TEXT(A856),4)),VALUE(MID(TO_TEXT(A856),5,2)),VALUE(RIGHT(TO_TEXT(A856),2))),F856),""yyyymmdd""))"),"")</f>
        <v/>
      </c>
      <c r="H856" s="34" t="str">
        <f t="shared" si="1"/>
        <v/>
      </c>
      <c r="I856" s="35"/>
      <c r="J856" s="35"/>
      <c r="K856" s="35"/>
    </row>
    <row r="857">
      <c r="A857" s="33"/>
      <c r="G857" s="33" t="str">
        <f>IFERROR(__xludf.DUMMYFUNCTION("IF(OR(A857="""",F857=""""),"""",TEXT(WORKDAY(DATE(VALUE(LEFT(TO_TEXT(A857),4)),VALUE(MID(TO_TEXT(A857),5,2)),VALUE(RIGHT(TO_TEXT(A857),2))),F857),""yyyymmdd""))"),"")</f>
        <v/>
      </c>
      <c r="H857" s="34" t="str">
        <f t="shared" si="1"/>
        <v/>
      </c>
      <c r="I857" s="35"/>
      <c r="J857" s="35"/>
      <c r="K857" s="35"/>
    </row>
    <row r="858">
      <c r="A858" s="33"/>
      <c r="G858" s="33" t="str">
        <f>IFERROR(__xludf.DUMMYFUNCTION("IF(OR(A858="""",F858=""""),"""",TEXT(WORKDAY(DATE(VALUE(LEFT(TO_TEXT(A858),4)),VALUE(MID(TO_TEXT(A858),5,2)),VALUE(RIGHT(TO_TEXT(A858),2))),F858),""yyyymmdd""))"),"")</f>
        <v/>
      </c>
      <c r="H858" s="34" t="str">
        <f t="shared" si="1"/>
        <v/>
      </c>
      <c r="I858" s="35"/>
      <c r="J858" s="35"/>
      <c r="K858" s="35"/>
    </row>
    <row r="859">
      <c r="A859" s="33"/>
      <c r="G859" s="33" t="str">
        <f>IFERROR(__xludf.DUMMYFUNCTION("IF(OR(A859="""",F859=""""),"""",TEXT(WORKDAY(DATE(VALUE(LEFT(TO_TEXT(A859),4)),VALUE(MID(TO_TEXT(A859),5,2)),VALUE(RIGHT(TO_TEXT(A859),2))),F859),""yyyymmdd""))"),"")</f>
        <v/>
      </c>
      <c r="H859" s="34" t="str">
        <f t="shared" si="1"/>
        <v/>
      </c>
      <c r="I859" s="35"/>
      <c r="J859" s="35"/>
      <c r="K859" s="35"/>
    </row>
    <row r="860">
      <c r="A860" s="33"/>
      <c r="G860" s="33" t="str">
        <f>IFERROR(__xludf.DUMMYFUNCTION("IF(OR(A860="""",F860=""""),"""",TEXT(WORKDAY(DATE(VALUE(LEFT(TO_TEXT(A860),4)),VALUE(MID(TO_TEXT(A860),5,2)),VALUE(RIGHT(TO_TEXT(A860),2))),F860),""yyyymmdd""))"),"")</f>
        <v/>
      </c>
      <c r="H860" s="34" t="str">
        <f t="shared" si="1"/>
        <v/>
      </c>
      <c r="I860" s="35"/>
      <c r="J860" s="35"/>
      <c r="K860" s="35"/>
    </row>
    <row r="861">
      <c r="A861" s="33"/>
      <c r="G861" s="33" t="str">
        <f>IFERROR(__xludf.DUMMYFUNCTION("IF(OR(A861="""",F861=""""),"""",TEXT(WORKDAY(DATE(VALUE(LEFT(TO_TEXT(A861),4)),VALUE(MID(TO_TEXT(A861),5,2)),VALUE(RIGHT(TO_TEXT(A861),2))),F861),""yyyymmdd""))"),"")</f>
        <v/>
      </c>
      <c r="H861" s="34" t="str">
        <f t="shared" si="1"/>
        <v/>
      </c>
      <c r="I861" s="35"/>
      <c r="J861" s="35"/>
      <c r="K861" s="35"/>
    </row>
    <row r="862">
      <c r="A862" s="33"/>
      <c r="G862" s="33" t="str">
        <f>IFERROR(__xludf.DUMMYFUNCTION("IF(OR(A862="""",F862=""""),"""",TEXT(WORKDAY(DATE(VALUE(LEFT(TO_TEXT(A862),4)),VALUE(MID(TO_TEXT(A862),5,2)),VALUE(RIGHT(TO_TEXT(A862),2))),F862),""yyyymmdd""))"),"")</f>
        <v/>
      </c>
      <c r="H862" s="34" t="str">
        <f t="shared" si="1"/>
        <v/>
      </c>
      <c r="I862" s="35"/>
      <c r="J862" s="35"/>
      <c r="K862" s="35"/>
    </row>
    <row r="863">
      <c r="A863" s="33"/>
      <c r="G863" s="33" t="str">
        <f>IFERROR(__xludf.DUMMYFUNCTION("IF(OR(A863="""",F863=""""),"""",TEXT(WORKDAY(DATE(VALUE(LEFT(TO_TEXT(A863),4)),VALUE(MID(TO_TEXT(A863),5,2)),VALUE(RIGHT(TO_TEXT(A863),2))),F863),""yyyymmdd""))"),"")</f>
        <v/>
      </c>
      <c r="H863" s="34" t="str">
        <f t="shared" si="1"/>
        <v/>
      </c>
      <c r="I863" s="35"/>
      <c r="J863" s="35"/>
      <c r="K863" s="35"/>
    </row>
    <row r="864">
      <c r="A864" s="33"/>
      <c r="G864" s="33" t="str">
        <f>IFERROR(__xludf.DUMMYFUNCTION("IF(OR(A864="""",F864=""""),"""",TEXT(WORKDAY(DATE(VALUE(LEFT(TO_TEXT(A864),4)),VALUE(MID(TO_TEXT(A864),5,2)),VALUE(RIGHT(TO_TEXT(A864),2))),F864),""yyyymmdd""))"),"")</f>
        <v/>
      </c>
      <c r="H864" s="34" t="str">
        <f t="shared" si="1"/>
        <v/>
      </c>
      <c r="I864" s="35"/>
      <c r="J864" s="35"/>
      <c r="K864" s="35"/>
    </row>
    <row r="865">
      <c r="A865" s="33"/>
      <c r="G865" s="33" t="str">
        <f>IFERROR(__xludf.DUMMYFUNCTION("IF(OR(A865="""",F865=""""),"""",TEXT(WORKDAY(DATE(VALUE(LEFT(TO_TEXT(A865),4)),VALUE(MID(TO_TEXT(A865),5,2)),VALUE(RIGHT(TO_TEXT(A865),2))),F865),""yyyymmdd""))"),"")</f>
        <v/>
      </c>
      <c r="H865" s="34" t="str">
        <f t="shared" si="1"/>
        <v/>
      </c>
      <c r="I865" s="35"/>
      <c r="J865" s="35"/>
      <c r="K865" s="35"/>
    </row>
    <row r="866">
      <c r="A866" s="33"/>
      <c r="G866" s="33" t="str">
        <f>IFERROR(__xludf.DUMMYFUNCTION("IF(OR(A866="""",F866=""""),"""",TEXT(WORKDAY(DATE(VALUE(LEFT(TO_TEXT(A866),4)),VALUE(MID(TO_TEXT(A866),5,2)),VALUE(RIGHT(TO_TEXT(A866),2))),F866),""yyyymmdd""))"),"")</f>
        <v/>
      </c>
      <c r="H866" s="34" t="str">
        <f t="shared" si="1"/>
        <v/>
      </c>
      <c r="I866" s="35"/>
      <c r="J866" s="35"/>
      <c r="K866" s="35"/>
    </row>
    <row r="867">
      <c r="A867" s="33"/>
      <c r="G867" s="33" t="str">
        <f>IFERROR(__xludf.DUMMYFUNCTION("IF(OR(A867="""",F867=""""),"""",TEXT(WORKDAY(DATE(VALUE(LEFT(TO_TEXT(A867),4)),VALUE(MID(TO_TEXT(A867),5,2)),VALUE(RIGHT(TO_TEXT(A867),2))),F867),""yyyymmdd""))"),"")</f>
        <v/>
      </c>
      <c r="H867" s="34" t="str">
        <f t="shared" si="1"/>
        <v/>
      </c>
      <c r="I867" s="35"/>
      <c r="J867" s="35"/>
      <c r="K867" s="35"/>
    </row>
    <row r="868">
      <c r="A868" s="33"/>
      <c r="G868" s="33" t="str">
        <f>IFERROR(__xludf.DUMMYFUNCTION("IF(OR(A868="""",F868=""""),"""",TEXT(WORKDAY(DATE(VALUE(LEFT(TO_TEXT(A868),4)),VALUE(MID(TO_TEXT(A868),5,2)),VALUE(RIGHT(TO_TEXT(A868),2))),F868),""yyyymmdd""))"),"")</f>
        <v/>
      </c>
      <c r="H868" s="34" t="str">
        <f t="shared" si="1"/>
        <v/>
      </c>
      <c r="I868" s="35"/>
      <c r="J868" s="35"/>
      <c r="K868" s="35"/>
    </row>
    <row r="869">
      <c r="A869" s="33"/>
      <c r="G869" s="33" t="str">
        <f>IFERROR(__xludf.DUMMYFUNCTION("IF(OR(A869="""",F869=""""),"""",TEXT(WORKDAY(DATE(VALUE(LEFT(TO_TEXT(A869),4)),VALUE(MID(TO_TEXT(A869),5,2)),VALUE(RIGHT(TO_TEXT(A869),2))),F869),""yyyymmdd""))"),"")</f>
        <v/>
      </c>
      <c r="H869" s="34" t="str">
        <f t="shared" si="1"/>
        <v/>
      </c>
      <c r="I869" s="35"/>
      <c r="J869" s="35"/>
      <c r="K869" s="35"/>
    </row>
    <row r="870">
      <c r="A870" s="33"/>
      <c r="G870" s="33" t="str">
        <f>IFERROR(__xludf.DUMMYFUNCTION("IF(OR(A870="""",F870=""""),"""",TEXT(WORKDAY(DATE(VALUE(LEFT(TO_TEXT(A870),4)),VALUE(MID(TO_TEXT(A870),5,2)),VALUE(RIGHT(TO_TEXT(A870),2))),F870),""yyyymmdd""))"),"")</f>
        <v/>
      </c>
      <c r="H870" s="34" t="str">
        <f t="shared" si="1"/>
        <v/>
      </c>
      <c r="I870" s="35"/>
      <c r="J870" s="35"/>
      <c r="K870" s="35"/>
    </row>
    <row r="871">
      <c r="A871" s="33"/>
      <c r="G871" s="33" t="str">
        <f>IFERROR(__xludf.DUMMYFUNCTION("IF(OR(A871="""",F871=""""),"""",TEXT(WORKDAY(DATE(VALUE(LEFT(TO_TEXT(A871),4)),VALUE(MID(TO_TEXT(A871),5,2)),VALUE(RIGHT(TO_TEXT(A871),2))),F871),""yyyymmdd""))"),"")</f>
        <v/>
      </c>
      <c r="H871" s="34" t="str">
        <f t="shared" si="1"/>
        <v/>
      </c>
      <c r="I871" s="35"/>
      <c r="J871" s="35"/>
      <c r="K871" s="35"/>
    </row>
    <row r="872">
      <c r="A872" s="33"/>
      <c r="G872" s="33" t="str">
        <f>IFERROR(__xludf.DUMMYFUNCTION("IF(OR(A872="""",F872=""""),"""",TEXT(WORKDAY(DATE(VALUE(LEFT(TO_TEXT(A872),4)),VALUE(MID(TO_TEXT(A872),5,2)),VALUE(RIGHT(TO_TEXT(A872),2))),F872),""yyyymmdd""))"),"")</f>
        <v/>
      </c>
      <c r="H872" s="34" t="str">
        <f t="shared" si="1"/>
        <v/>
      </c>
      <c r="I872" s="35"/>
      <c r="J872" s="35"/>
      <c r="K872" s="35"/>
    </row>
    <row r="873">
      <c r="A873" s="33"/>
      <c r="G873" s="33" t="str">
        <f>IFERROR(__xludf.DUMMYFUNCTION("IF(OR(A873="""",F873=""""),"""",TEXT(WORKDAY(DATE(VALUE(LEFT(TO_TEXT(A873),4)),VALUE(MID(TO_TEXT(A873),5,2)),VALUE(RIGHT(TO_TEXT(A873),2))),F873),""yyyymmdd""))"),"")</f>
        <v/>
      </c>
      <c r="H873" s="34" t="str">
        <f t="shared" si="1"/>
        <v/>
      </c>
      <c r="I873" s="35"/>
      <c r="J873" s="35"/>
      <c r="K873" s="35"/>
    </row>
    <row r="874">
      <c r="A874" s="33"/>
      <c r="G874" s="33" t="str">
        <f>IFERROR(__xludf.DUMMYFUNCTION("IF(OR(A874="""",F874=""""),"""",TEXT(WORKDAY(DATE(VALUE(LEFT(TO_TEXT(A874),4)),VALUE(MID(TO_TEXT(A874),5,2)),VALUE(RIGHT(TO_TEXT(A874),2))),F874),""yyyymmdd""))"),"")</f>
        <v/>
      </c>
      <c r="H874" s="34" t="str">
        <f t="shared" si="1"/>
        <v/>
      </c>
      <c r="I874" s="35"/>
      <c r="J874" s="35"/>
      <c r="K874" s="35"/>
    </row>
    <row r="875">
      <c r="A875" s="33"/>
      <c r="G875" s="33" t="str">
        <f>IFERROR(__xludf.DUMMYFUNCTION("IF(OR(A875="""",F875=""""),"""",TEXT(WORKDAY(DATE(VALUE(LEFT(TO_TEXT(A875),4)),VALUE(MID(TO_TEXT(A875),5,2)),VALUE(RIGHT(TO_TEXT(A875),2))),F875),""yyyymmdd""))"),"")</f>
        <v/>
      </c>
      <c r="H875" s="34" t="str">
        <f t="shared" si="1"/>
        <v/>
      </c>
      <c r="I875" s="35"/>
      <c r="J875" s="35"/>
      <c r="K875" s="35"/>
    </row>
    <row r="876">
      <c r="A876" s="33"/>
      <c r="G876" s="33" t="str">
        <f>IFERROR(__xludf.DUMMYFUNCTION("IF(OR(A876="""",F876=""""),"""",TEXT(WORKDAY(DATE(VALUE(LEFT(TO_TEXT(A876),4)),VALUE(MID(TO_TEXT(A876),5,2)),VALUE(RIGHT(TO_TEXT(A876),2))),F876),""yyyymmdd""))"),"")</f>
        <v/>
      </c>
      <c r="H876" s="34" t="str">
        <f t="shared" si="1"/>
        <v/>
      </c>
      <c r="I876" s="35"/>
      <c r="J876" s="35"/>
      <c r="K876" s="35"/>
    </row>
    <row r="877">
      <c r="A877" s="33"/>
      <c r="G877" s="33" t="str">
        <f>IFERROR(__xludf.DUMMYFUNCTION("IF(OR(A877="""",F877=""""),"""",TEXT(WORKDAY(DATE(VALUE(LEFT(TO_TEXT(A877),4)),VALUE(MID(TO_TEXT(A877),5,2)),VALUE(RIGHT(TO_TEXT(A877),2))),F877),""yyyymmdd""))"),"")</f>
        <v/>
      </c>
      <c r="H877" s="34" t="str">
        <f t="shared" si="1"/>
        <v/>
      </c>
      <c r="I877" s="35"/>
      <c r="J877" s="35"/>
      <c r="K877" s="35"/>
    </row>
    <row r="878">
      <c r="A878" s="33"/>
      <c r="G878" s="33" t="str">
        <f>IFERROR(__xludf.DUMMYFUNCTION("IF(OR(A878="""",F878=""""),"""",TEXT(WORKDAY(DATE(VALUE(LEFT(TO_TEXT(A878),4)),VALUE(MID(TO_TEXT(A878),5,2)),VALUE(RIGHT(TO_TEXT(A878),2))),F878),""yyyymmdd""))"),"")</f>
        <v/>
      </c>
      <c r="H878" s="34" t="str">
        <f t="shared" si="1"/>
        <v/>
      </c>
      <c r="I878" s="35"/>
      <c r="J878" s="35"/>
      <c r="K878" s="35"/>
    </row>
    <row r="879">
      <c r="A879" s="33"/>
      <c r="G879" s="33" t="str">
        <f>IFERROR(__xludf.DUMMYFUNCTION("IF(OR(A879="""",F879=""""),"""",TEXT(WORKDAY(DATE(VALUE(LEFT(TO_TEXT(A879),4)),VALUE(MID(TO_TEXT(A879),5,2)),VALUE(RIGHT(TO_TEXT(A879),2))),F879),""yyyymmdd""))"),"")</f>
        <v/>
      </c>
      <c r="H879" s="34" t="str">
        <f t="shared" si="1"/>
        <v/>
      </c>
      <c r="I879" s="35"/>
      <c r="J879" s="35"/>
      <c r="K879" s="35"/>
    </row>
    <row r="880">
      <c r="A880" s="33"/>
      <c r="G880" s="33" t="str">
        <f>IFERROR(__xludf.DUMMYFUNCTION("IF(OR(A880="""",F880=""""),"""",TEXT(WORKDAY(DATE(VALUE(LEFT(TO_TEXT(A880),4)),VALUE(MID(TO_TEXT(A880),5,2)),VALUE(RIGHT(TO_TEXT(A880),2))),F880),""yyyymmdd""))"),"")</f>
        <v/>
      </c>
      <c r="H880" s="34" t="str">
        <f t="shared" si="1"/>
        <v/>
      </c>
      <c r="I880" s="35"/>
      <c r="J880" s="35"/>
      <c r="K880" s="35"/>
    </row>
    <row r="881">
      <c r="A881" s="33"/>
      <c r="G881" s="33" t="str">
        <f>IFERROR(__xludf.DUMMYFUNCTION("IF(OR(A881="""",F881=""""),"""",TEXT(WORKDAY(DATE(VALUE(LEFT(TO_TEXT(A881),4)),VALUE(MID(TO_TEXT(A881),5,2)),VALUE(RIGHT(TO_TEXT(A881),2))),F881),""yyyymmdd""))"),"")</f>
        <v/>
      </c>
      <c r="H881" s="34" t="str">
        <f t="shared" si="1"/>
        <v/>
      </c>
      <c r="I881" s="35"/>
      <c r="J881" s="35"/>
      <c r="K881" s="35"/>
    </row>
    <row r="882">
      <c r="A882" s="33"/>
      <c r="G882" s="33" t="str">
        <f>IFERROR(__xludf.DUMMYFUNCTION("IF(OR(A882="""",F882=""""),"""",TEXT(WORKDAY(DATE(VALUE(LEFT(TO_TEXT(A882),4)),VALUE(MID(TO_TEXT(A882),5,2)),VALUE(RIGHT(TO_TEXT(A882),2))),F882),""yyyymmdd""))"),"")</f>
        <v/>
      </c>
      <c r="H882" s="34" t="str">
        <f t="shared" si="1"/>
        <v/>
      </c>
      <c r="I882" s="35"/>
      <c r="J882" s="35"/>
      <c r="K882" s="35"/>
    </row>
    <row r="883">
      <c r="A883" s="33"/>
      <c r="G883" s="33" t="str">
        <f>IFERROR(__xludf.DUMMYFUNCTION("IF(OR(A883="""",F883=""""),"""",TEXT(WORKDAY(DATE(VALUE(LEFT(TO_TEXT(A883),4)),VALUE(MID(TO_TEXT(A883),5,2)),VALUE(RIGHT(TO_TEXT(A883),2))),F883),""yyyymmdd""))"),"")</f>
        <v/>
      </c>
      <c r="H883" s="34" t="str">
        <f t="shared" si="1"/>
        <v/>
      </c>
      <c r="I883" s="35"/>
      <c r="J883" s="35"/>
      <c r="K883" s="35"/>
    </row>
    <row r="884">
      <c r="A884" s="33"/>
      <c r="G884" s="33" t="str">
        <f>IFERROR(__xludf.DUMMYFUNCTION("IF(OR(A884="""",F884=""""),"""",TEXT(WORKDAY(DATE(VALUE(LEFT(TO_TEXT(A884),4)),VALUE(MID(TO_TEXT(A884),5,2)),VALUE(RIGHT(TO_TEXT(A884),2))),F884),""yyyymmdd""))"),"")</f>
        <v/>
      </c>
      <c r="H884" s="34" t="str">
        <f t="shared" si="1"/>
        <v/>
      </c>
      <c r="I884" s="35"/>
      <c r="J884" s="35"/>
      <c r="K884" s="35"/>
    </row>
    <row r="885">
      <c r="A885" s="33"/>
      <c r="G885" s="33" t="str">
        <f>IFERROR(__xludf.DUMMYFUNCTION("IF(OR(A885="""",F885=""""),"""",TEXT(WORKDAY(DATE(VALUE(LEFT(TO_TEXT(A885),4)),VALUE(MID(TO_TEXT(A885),5,2)),VALUE(RIGHT(TO_TEXT(A885),2))),F885),""yyyymmdd""))"),"")</f>
        <v/>
      </c>
      <c r="H885" s="34" t="str">
        <f t="shared" si="1"/>
        <v/>
      </c>
      <c r="I885" s="35"/>
      <c r="J885" s="35"/>
      <c r="K885" s="35"/>
    </row>
    <row r="886">
      <c r="A886" s="33"/>
      <c r="G886" s="33" t="str">
        <f>IFERROR(__xludf.DUMMYFUNCTION("IF(OR(A886="""",F886=""""),"""",TEXT(WORKDAY(DATE(VALUE(LEFT(TO_TEXT(A886),4)),VALUE(MID(TO_TEXT(A886),5,2)),VALUE(RIGHT(TO_TEXT(A886),2))),F886),""yyyymmdd""))"),"")</f>
        <v/>
      </c>
      <c r="H886" s="34" t="str">
        <f t="shared" si="1"/>
        <v/>
      </c>
      <c r="I886" s="35"/>
      <c r="J886" s="35"/>
      <c r="K886" s="35"/>
    </row>
    <row r="887">
      <c r="A887" s="33"/>
      <c r="G887" s="33" t="str">
        <f>IFERROR(__xludf.DUMMYFUNCTION("IF(OR(A887="""",F887=""""),"""",TEXT(WORKDAY(DATE(VALUE(LEFT(TO_TEXT(A887),4)),VALUE(MID(TO_TEXT(A887),5,2)),VALUE(RIGHT(TO_TEXT(A887),2))),F887),""yyyymmdd""))"),"")</f>
        <v/>
      </c>
      <c r="H887" s="34" t="str">
        <f t="shared" si="1"/>
        <v/>
      </c>
      <c r="I887" s="35"/>
      <c r="J887" s="35"/>
      <c r="K887" s="35"/>
    </row>
    <row r="888">
      <c r="A888" s="33"/>
      <c r="G888" s="33" t="str">
        <f>IFERROR(__xludf.DUMMYFUNCTION("IF(OR(A888="""",F888=""""),"""",TEXT(WORKDAY(DATE(VALUE(LEFT(TO_TEXT(A888),4)),VALUE(MID(TO_TEXT(A888),5,2)),VALUE(RIGHT(TO_TEXT(A888),2))),F888),""yyyymmdd""))"),"")</f>
        <v/>
      </c>
      <c r="H888" s="34" t="str">
        <f t="shared" si="1"/>
        <v/>
      </c>
      <c r="I888" s="35"/>
      <c r="J888" s="35"/>
      <c r="K888" s="35"/>
    </row>
    <row r="889">
      <c r="A889" s="33"/>
      <c r="G889" s="33" t="str">
        <f>IFERROR(__xludf.DUMMYFUNCTION("IF(OR(A889="""",F889=""""),"""",TEXT(WORKDAY(DATE(VALUE(LEFT(TO_TEXT(A889),4)),VALUE(MID(TO_TEXT(A889),5,2)),VALUE(RIGHT(TO_TEXT(A889),2))),F889),""yyyymmdd""))"),"")</f>
        <v/>
      </c>
      <c r="H889" s="34" t="str">
        <f t="shared" si="1"/>
        <v/>
      </c>
      <c r="I889" s="35"/>
      <c r="J889" s="35"/>
      <c r="K889" s="35"/>
    </row>
    <row r="890">
      <c r="A890" s="33"/>
      <c r="G890" s="33" t="str">
        <f>IFERROR(__xludf.DUMMYFUNCTION("IF(OR(A890="""",F890=""""),"""",TEXT(WORKDAY(DATE(VALUE(LEFT(TO_TEXT(A890),4)),VALUE(MID(TO_TEXT(A890),5,2)),VALUE(RIGHT(TO_TEXT(A890),2))),F890),""yyyymmdd""))"),"")</f>
        <v/>
      </c>
      <c r="H890" s="34" t="str">
        <f t="shared" si="1"/>
        <v/>
      </c>
      <c r="I890" s="35"/>
      <c r="J890" s="35"/>
      <c r="K890" s="35"/>
    </row>
    <row r="891">
      <c r="A891" s="33"/>
      <c r="G891" s="33" t="str">
        <f>IFERROR(__xludf.DUMMYFUNCTION("IF(OR(A891="""",F891=""""),"""",TEXT(WORKDAY(DATE(VALUE(LEFT(TO_TEXT(A891),4)),VALUE(MID(TO_TEXT(A891),5,2)),VALUE(RIGHT(TO_TEXT(A891),2))),F891),""yyyymmdd""))"),"")</f>
        <v/>
      </c>
      <c r="H891" s="34" t="str">
        <f t="shared" si="1"/>
        <v/>
      </c>
      <c r="I891" s="35"/>
      <c r="J891" s="35"/>
      <c r="K891" s="35"/>
    </row>
    <row r="892">
      <c r="A892" s="33"/>
      <c r="G892" s="33" t="str">
        <f>IFERROR(__xludf.DUMMYFUNCTION("IF(OR(A892="""",F892=""""),"""",TEXT(WORKDAY(DATE(VALUE(LEFT(TO_TEXT(A892),4)),VALUE(MID(TO_TEXT(A892),5,2)),VALUE(RIGHT(TO_TEXT(A892),2))),F892),""yyyymmdd""))"),"")</f>
        <v/>
      </c>
      <c r="H892" s="34" t="str">
        <f t="shared" si="1"/>
        <v/>
      </c>
      <c r="I892" s="35"/>
      <c r="J892" s="35"/>
      <c r="K892" s="35"/>
    </row>
    <row r="893">
      <c r="A893" s="33"/>
      <c r="G893" s="33" t="str">
        <f>IFERROR(__xludf.DUMMYFUNCTION("IF(OR(A893="""",F893=""""),"""",TEXT(WORKDAY(DATE(VALUE(LEFT(TO_TEXT(A893),4)),VALUE(MID(TO_TEXT(A893),5,2)),VALUE(RIGHT(TO_TEXT(A893),2))),F893),""yyyymmdd""))"),"")</f>
        <v/>
      </c>
      <c r="H893" s="34" t="str">
        <f t="shared" si="1"/>
        <v/>
      </c>
      <c r="I893" s="35"/>
      <c r="J893" s="35"/>
      <c r="K893" s="35"/>
    </row>
    <row r="894">
      <c r="A894" s="33"/>
      <c r="G894" s="33" t="str">
        <f>IFERROR(__xludf.DUMMYFUNCTION("IF(OR(A894="""",F894=""""),"""",TEXT(WORKDAY(DATE(VALUE(LEFT(TO_TEXT(A894),4)),VALUE(MID(TO_TEXT(A894),5,2)),VALUE(RIGHT(TO_TEXT(A894),2))),F894),""yyyymmdd""))"),"")</f>
        <v/>
      </c>
      <c r="H894" s="34" t="str">
        <f t="shared" si="1"/>
        <v/>
      </c>
      <c r="I894" s="35"/>
      <c r="J894" s="35"/>
      <c r="K894" s="35"/>
    </row>
    <row r="895">
      <c r="A895" s="33"/>
      <c r="G895" s="33" t="str">
        <f>IFERROR(__xludf.DUMMYFUNCTION("IF(OR(A895="""",F895=""""),"""",TEXT(WORKDAY(DATE(VALUE(LEFT(TO_TEXT(A895),4)),VALUE(MID(TO_TEXT(A895),5,2)),VALUE(RIGHT(TO_TEXT(A895),2))),F895),""yyyymmdd""))"),"")</f>
        <v/>
      </c>
      <c r="H895" s="34" t="str">
        <f t="shared" si="1"/>
        <v/>
      </c>
      <c r="I895" s="35"/>
      <c r="J895" s="35"/>
      <c r="K895" s="35"/>
    </row>
    <row r="896">
      <c r="A896" s="33"/>
      <c r="G896" s="33" t="str">
        <f>IFERROR(__xludf.DUMMYFUNCTION("IF(OR(A896="""",F896=""""),"""",TEXT(WORKDAY(DATE(VALUE(LEFT(TO_TEXT(A896),4)),VALUE(MID(TO_TEXT(A896),5,2)),VALUE(RIGHT(TO_TEXT(A896),2))),F896),""yyyymmdd""))"),"")</f>
        <v/>
      </c>
      <c r="H896" s="34" t="str">
        <f t="shared" si="1"/>
        <v/>
      </c>
      <c r="I896" s="35"/>
      <c r="J896" s="35"/>
      <c r="K896" s="35"/>
    </row>
    <row r="897">
      <c r="A897" s="33"/>
      <c r="G897" s="33" t="str">
        <f>IFERROR(__xludf.DUMMYFUNCTION("IF(OR(A897="""",F897=""""),"""",TEXT(WORKDAY(DATE(VALUE(LEFT(TO_TEXT(A897),4)),VALUE(MID(TO_TEXT(A897),5,2)),VALUE(RIGHT(TO_TEXT(A897),2))),F897),""yyyymmdd""))"),"")</f>
        <v/>
      </c>
      <c r="H897" s="34" t="str">
        <f t="shared" si="1"/>
        <v/>
      </c>
      <c r="I897" s="35"/>
      <c r="J897" s="35"/>
      <c r="K897" s="35"/>
    </row>
    <row r="898">
      <c r="A898" s="33"/>
      <c r="G898" s="33" t="str">
        <f>IFERROR(__xludf.DUMMYFUNCTION("IF(OR(A898="""",F898=""""),"""",TEXT(WORKDAY(DATE(VALUE(LEFT(TO_TEXT(A898),4)),VALUE(MID(TO_TEXT(A898),5,2)),VALUE(RIGHT(TO_TEXT(A898),2))),F898),""yyyymmdd""))"),"")</f>
        <v/>
      </c>
      <c r="H898" s="34" t="str">
        <f t="shared" si="1"/>
        <v/>
      </c>
      <c r="I898" s="35"/>
      <c r="J898" s="35"/>
      <c r="K898" s="35"/>
    </row>
    <row r="899">
      <c r="A899" s="33"/>
      <c r="G899" s="33" t="str">
        <f>IFERROR(__xludf.DUMMYFUNCTION("IF(OR(A899="""",F899=""""),"""",TEXT(WORKDAY(DATE(VALUE(LEFT(TO_TEXT(A899),4)),VALUE(MID(TO_TEXT(A899),5,2)),VALUE(RIGHT(TO_TEXT(A899),2))),F899),""yyyymmdd""))"),"")</f>
        <v/>
      </c>
      <c r="H899" s="34" t="str">
        <f t="shared" si="1"/>
        <v/>
      </c>
      <c r="I899" s="35"/>
      <c r="J899" s="35"/>
      <c r="K899" s="35"/>
    </row>
    <row r="900">
      <c r="A900" s="33"/>
      <c r="G900" s="33" t="str">
        <f>IFERROR(__xludf.DUMMYFUNCTION("IF(OR(A900="""",F900=""""),"""",TEXT(WORKDAY(DATE(VALUE(LEFT(TO_TEXT(A900),4)),VALUE(MID(TO_TEXT(A900),5,2)),VALUE(RIGHT(TO_TEXT(A900),2))),F900),""yyyymmdd""))"),"")</f>
        <v/>
      </c>
      <c r="H900" s="34" t="str">
        <f t="shared" si="1"/>
        <v/>
      </c>
      <c r="I900" s="35"/>
      <c r="J900" s="35"/>
      <c r="K900" s="35"/>
    </row>
    <row r="901">
      <c r="A901" s="33"/>
      <c r="G901" s="33" t="str">
        <f>IFERROR(__xludf.DUMMYFUNCTION("IF(OR(A901="""",F901=""""),"""",TEXT(WORKDAY(DATE(VALUE(LEFT(TO_TEXT(A901),4)),VALUE(MID(TO_TEXT(A901),5,2)),VALUE(RIGHT(TO_TEXT(A901),2))),F901),""yyyymmdd""))"),"")</f>
        <v/>
      </c>
      <c r="H901" s="34" t="str">
        <f t="shared" si="1"/>
        <v/>
      </c>
      <c r="I901" s="35"/>
      <c r="J901" s="35"/>
      <c r="K901" s="35"/>
    </row>
    <row r="902">
      <c r="A902" s="33"/>
      <c r="G902" s="33" t="str">
        <f>IFERROR(__xludf.DUMMYFUNCTION("IF(OR(A902="""",F902=""""),"""",TEXT(WORKDAY(DATE(VALUE(LEFT(TO_TEXT(A902),4)),VALUE(MID(TO_TEXT(A902),5,2)),VALUE(RIGHT(TO_TEXT(A902),2))),F902),""yyyymmdd""))"),"")</f>
        <v/>
      </c>
      <c r="H902" s="34" t="str">
        <f t="shared" si="1"/>
        <v/>
      </c>
      <c r="I902" s="35"/>
      <c r="J902" s="35"/>
      <c r="K902" s="35"/>
    </row>
    <row r="903">
      <c r="A903" s="33"/>
      <c r="G903" s="33" t="str">
        <f>IFERROR(__xludf.DUMMYFUNCTION("IF(OR(A903="""",F903=""""),"""",TEXT(WORKDAY(DATE(VALUE(LEFT(TO_TEXT(A903),4)),VALUE(MID(TO_TEXT(A903),5,2)),VALUE(RIGHT(TO_TEXT(A903),2))),F903),""yyyymmdd""))"),"")</f>
        <v/>
      </c>
      <c r="H903" s="34" t="str">
        <f t="shared" si="1"/>
        <v/>
      </c>
      <c r="I903" s="35"/>
      <c r="J903" s="35"/>
      <c r="K903" s="35"/>
    </row>
    <row r="904">
      <c r="A904" s="33"/>
      <c r="G904" s="33" t="str">
        <f>IFERROR(__xludf.DUMMYFUNCTION("IF(OR(A904="""",F904=""""),"""",TEXT(WORKDAY(DATE(VALUE(LEFT(TO_TEXT(A904),4)),VALUE(MID(TO_TEXT(A904),5,2)),VALUE(RIGHT(TO_TEXT(A904),2))),F904),""yyyymmdd""))"),"")</f>
        <v/>
      </c>
      <c r="H904" s="34" t="str">
        <f t="shared" si="1"/>
        <v/>
      </c>
      <c r="I904" s="35"/>
      <c r="J904" s="35"/>
      <c r="K904" s="35"/>
    </row>
    <row r="905">
      <c r="A905" s="33"/>
      <c r="G905" s="33" t="str">
        <f>IFERROR(__xludf.DUMMYFUNCTION("IF(OR(A905="""",F905=""""),"""",TEXT(WORKDAY(DATE(VALUE(LEFT(TO_TEXT(A905),4)),VALUE(MID(TO_TEXT(A905),5,2)),VALUE(RIGHT(TO_TEXT(A905),2))),F905),""yyyymmdd""))"),"")</f>
        <v/>
      </c>
      <c r="H905" s="34" t="str">
        <f t="shared" si="1"/>
        <v/>
      </c>
      <c r="I905" s="35"/>
      <c r="J905" s="35"/>
      <c r="K905" s="35"/>
    </row>
    <row r="906">
      <c r="A906" s="33"/>
      <c r="G906" s="33" t="str">
        <f>IFERROR(__xludf.DUMMYFUNCTION("IF(OR(A906="""",F906=""""),"""",TEXT(WORKDAY(DATE(VALUE(LEFT(TO_TEXT(A906),4)),VALUE(MID(TO_TEXT(A906),5,2)),VALUE(RIGHT(TO_TEXT(A906),2))),F906),""yyyymmdd""))"),"")</f>
        <v/>
      </c>
      <c r="H906" s="34" t="str">
        <f t="shared" si="1"/>
        <v/>
      </c>
      <c r="I906" s="35"/>
      <c r="J906" s="35"/>
      <c r="K906" s="35"/>
    </row>
    <row r="907">
      <c r="A907" s="33"/>
      <c r="G907" s="33" t="str">
        <f>IFERROR(__xludf.DUMMYFUNCTION("IF(OR(A907="""",F907=""""),"""",TEXT(WORKDAY(DATE(VALUE(LEFT(TO_TEXT(A907),4)),VALUE(MID(TO_TEXT(A907),5,2)),VALUE(RIGHT(TO_TEXT(A907),2))),F907),""yyyymmdd""))"),"")</f>
        <v/>
      </c>
      <c r="H907" s="34" t="str">
        <f t="shared" si="1"/>
        <v/>
      </c>
      <c r="I907" s="35"/>
      <c r="J907" s="35"/>
      <c r="K907" s="35"/>
    </row>
    <row r="908">
      <c r="A908" s="33"/>
      <c r="G908" s="33" t="str">
        <f>IFERROR(__xludf.DUMMYFUNCTION("IF(OR(A908="""",F908=""""),"""",TEXT(WORKDAY(DATE(VALUE(LEFT(TO_TEXT(A908),4)),VALUE(MID(TO_TEXT(A908),5,2)),VALUE(RIGHT(TO_TEXT(A908),2))),F908),""yyyymmdd""))"),"")</f>
        <v/>
      </c>
      <c r="H908" s="34" t="str">
        <f t="shared" si="1"/>
        <v/>
      </c>
      <c r="I908" s="35"/>
      <c r="J908" s="35"/>
      <c r="K908" s="35"/>
    </row>
    <row r="909">
      <c r="A909" s="33"/>
      <c r="G909" s="33" t="str">
        <f>IFERROR(__xludf.DUMMYFUNCTION("IF(OR(A909="""",F909=""""),"""",TEXT(WORKDAY(DATE(VALUE(LEFT(TO_TEXT(A909),4)),VALUE(MID(TO_TEXT(A909),5,2)),VALUE(RIGHT(TO_TEXT(A909),2))),F909),""yyyymmdd""))"),"")</f>
        <v/>
      </c>
      <c r="H909" s="34" t="str">
        <f t="shared" si="1"/>
        <v/>
      </c>
      <c r="I909" s="35"/>
      <c r="J909" s="35"/>
      <c r="K909" s="35"/>
    </row>
    <row r="910">
      <c r="A910" s="33"/>
      <c r="G910" s="33" t="str">
        <f>IFERROR(__xludf.DUMMYFUNCTION("IF(OR(A910="""",F910=""""),"""",TEXT(WORKDAY(DATE(VALUE(LEFT(TO_TEXT(A910),4)),VALUE(MID(TO_TEXT(A910),5,2)),VALUE(RIGHT(TO_TEXT(A910),2))),F910),""yyyymmdd""))"),"")</f>
        <v/>
      </c>
      <c r="H910" s="34" t="str">
        <f t="shared" si="1"/>
        <v/>
      </c>
      <c r="I910" s="35"/>
      <c r="J910" s="35"/>
      <c r="K910" s="35"/>
    </row>
    <row r="911">
      <c r="A911" s="33"/>
      <c r="G911" s="33" t="str">
        <f>IFERROR(__xludf.DUMMYFUNCTION("IF(OR(A911="""",F911=""""),"""",TEXT(WORKDAY(DATE(VALUE(LEFT(TO_TEXT(A911),4)),VALUE(MID(TO_TEXT(A911),5,2)),VALUE(RIGHT(TO_TEXT(A911),2))),F911),""yyyymmdd""))"),"")</f>
        <v/>
      </c>
      <c r="H911" s="34" t="str">
        <f t="shared" si="1"/>
        <v/>
      </c>
      <c r="I911" s="35"/>
      <c r="J911" s="35"/>
      <c r="K911" s="35"/>
    </row>
    <row r="912">
      <c r="A912" s="33"/>
      <c r="G912" s="33" t="str">
        <f>IFERROR(__xludf.DUMMYFUNCTION("IF(OR(A912="""",F912=""""),"""",TEXT(WORKDAY(DATE(VALUE(LEFT(TO_TEXT(A912),4)),VALUE(MID(TO_TEXT(A912),5,2)),VALUE(RIGHT(TO_TEXT(A912),2))),F912),""yyyymmdd""))"),"")</f>
        <v/>
      </c>
      <c r="H912" s="34" t="str">
        <f t="shared" si="1"/>
        <v/>
      </c>
      <c r="I912" s="35"/>
      <c r="J912" s="35"/>
      <c r="K912" s="35"/>
    </row>
    <row r="913">
      <c r="A913" s="33"/>
      <c r="G913" s="33" t="str">
        <f>IFERROR(__xludf.DUMMYFUNCTION("IF(OR(A913="""",F913=""""),"""",TEXT(WORKDAY(DATE(VALUE(LEFT(TO_TEXT(A913),4)),VALUE(MID(TO_TEXT(A913),5,2)),VALUE(RIGHT(TO_TEXT(A913),2))),F913),""yyyymmdd""))"),"")</f>
        <v/>
      </c>
      <c r="H913" s="34" t="str">
        <f t="shared" si="1"/>
        <v/>
      </c>
      <c r="I913" s="35"/>
      <c r="J913" s="35"/>
      <c r="K913" s="35"/>
    </row>
    <row r="914">
      <c r="A914" s="33"/>
      <c r="G914" s="33" t="str">
        <f>IFERROR(__xludf.DUMMYFUNCTION("IF(OR(A914="""",F914=""""),"""",TEXT(WORKDAY(DATE(VALUE(LEFT(TO_TEXT(A914),4)),VALUE(MID(TO_TEXT(A914),5,2)),VALUE(RIGHT(TO_TEXT(A914),2))),F914),""yyyymmdd""))"),"")</f>
        <v/>
      </c>
      <c r="H914" s="34" t="str">
        <f t="shared" si="1"/>
        <v/>
      </c>
      <c r="I914" s="35"/>
      <c r="J914" s="35"/>
      <c r="K914" s="35"/>
    </row>
    <row r="915">
      <c r="A915" s="33"/>
      <c r="G915" s="33" t="str">
        <f>IFERROR(__xludf.DUMMYFUNCTION("IF(OR(A915="""",F915=""""),"""",TEXT(WORKDAY(DATE(VALUE(LEFT(TO_TEXT(A915),4)),VALUE(MID(TO_TEXT(A915),5,2)),VALUE(RIGHT(TO_TEXT(A915),2))),F915),""yyyymmdd""))"),"")</f>
        <v/>
      </c>
      <c r="H915" s="34" t="str">
        <f t="shared" si="1"/>
        <v/>
      </c>
      <c r="I915" s="35"/>
      <c r="J915" s="35"/>
      <c r="K915" s="35"/>
    </row>
    <row r="916">
      <c r="A916" s="33"/>
      <c r="G916" s="33" t="str">
        <f>IFERROR(__xludf.DUMMYFUNCTION("IF(OR(A916="""",F916=""""),"""",TEXT(WORKDAY(DATE(VALUE(LEFT(TO_TEXT(A916),4)),VALUE(MID(TO_TEXT(A916),5,2)),VALUE(RIGHT(TO_TEXT(A916),2))),F916),""yyyymmdd""))"),"")</f>
        <v/>
      </c>
      <c r="H916" s="34" t="str">
        <f t="shared" si="1"/>
        <v/>
      </c>
      <c r="I916" s="35"/>
      <c r="J916" s="35"/>
      <c r="K916" s="35"/>
    </row>
    <row r="917">
      <c r="A917" s="33"/>
      <c r="G917" s="33" t="str">
        <f>IFERROR(__xludf.DUMMYFUNCTION("IF(OR(A917="""",F917=""""),"""",TEXT(WORKDAY(DATE(VALUE(LEFT(TO_TEXT(A917),4)),VALUE(MID(TO_TEXT(A917),5,2)),VALUE(RIGHT(TO_TEXT(A917),2))),F917),""yyyymmdd""))"),"")</f>
        <v/>
      </c>
      <c r="H917" s="34" t="str">
        <f t="shared" si="1"/>
        <v/>
      </c>
      <c r="I917" s="35"/>
      <c r="J917" s="35"/>
      <c r="K917" s="35"/>
    </row>
    <row r="918">
      <c r="A918" s="33"/>
      <c r="G918" s="33" t="str">
        <f>IFERROR(__xludf.DUMMYFUNCTION("IF(OR(A918="""",F918=""""),"""",TEXT(WORKDAY(DATE(VALUE(LEFT(TO_TEXT(A918),4)),VALUE(MID(TO_TEXT(A918),5,2)),VALUE(RIGHT(TO_TEXT(A918),2))),F918),""yyyymmdd""))"),"")</f>
        <v/>
      </c>
      <c r="H918" s="34" t="str">
        <f t="shared" si="1"/>
        <v/>
      </c>
      <c r="I918" s="35"/>
      <c r="J918" s="35"/>
      <c r="K918" s="35"/>
    </row>
    <row r="919">
      <c r="A919" s="33"/>
      <c r="G919" s="33" t="str">
        <f>IFERROR(__xludf.DUMMYFUNCTION("IF(OR(A919="""",F919=""""),"""",TEXT(WORKDAY(DATE(VALUE(LEFT(TO_TEXT(A919),4)),VALUE(MID(TO_TEXT(A919),5,2)),VALUE(RIGHT(TO_TEXT(A919),2))),F919),""yyyymmdd""))"),"")</f>
        <v/>
      </c>
      <c r="H919" s="34" t="str">
        <f t="shared" si="1"/>
        <v/>
      </c>
      <c r="I919" s="35"/>
      <c r="J919" s="35"/>
      <c r="K919" s="35"/>
    </row>
    <row r="920">
      <c r="A920" s="33"/>
      <c r="G920" s="33" t="str">
        <f>IFERROR(__xludf.DUMMYFUNCTION("IF(OR(A920="""",F920=""""),"""",TEXT(WORKDAY(DATE(VALUE(LEFT(TO_TEXT(A920),4)),VALUE(MID(TO_TEXT(A920),5,2)),VALUE(RIGHT(TO_TEXT(A920),2))),F920),""yyyymmdd""))"),"")</f>
        <v/>
      </c>
      <c r="H920" s="34" t="str">
        <f t="shared" si="1"/>
        <v/>
      </c>
      <c r="I920" s="35"/>
      <c r="J920" s="35"/>
      <c r="K920" s="35"/>
    </row>
    <row r="921">
      <c r="A921" s="33"/>
      <c r="G921" s="33" t="str">
        <f>IFERROR(__xludf.DUMMYFUNCTION("IF(OR(A921="""",F921=""""),"""",TEXT(WORKDAY(DATE(VALUE(LEFT(TO_TEXT(A921),4)),VALUE(MID(TO_TEXT(A921),5,2)),VALUE(RIGHT(TO_TEXT(A921),2))),F921),""yyyymmdd""))"),"")</f>
        <v/>
      </c>
      <c r="H921" s="34" t="str">
        <f t="shared" si="1"/>
        <v/>
      </c>
      <c r="I921" s="35"/>
      <c r="J921" s="35"/>
      <c r="K921" s="35"/>
    </row>
    <row r="922">
      <c r="A922" s="33"/>
      <c r="G922" s="33" t="str">
        <f>IFERROR(__xludf.DUMMYFUNCTION("IF(OR(A922="""",F922=""""),"""",TEXT(WORKDAY(DATE(VALUE(LEFT(TO_TEXT(A922),4)),VALUE(MID(TO_TEXT(A922),5,2)),VALUE(RIGHT(TO_TEXT(A922),2))),F922),""yyyymmdd""))"),"")</f>
        <v/>
      </c>
      <c r="H922" s="34" t="str">
        <f t="shared" si="1"/>
        <v/>
      </c>
      <c r="I922" s="35"/>
      <c r="J922" s="35"/>
      <c r="K922" s="35"/>
    </row>
    <row r="923">
      <c r="A923" s="33"/>
      <c r="G923" s="33" t="str">
        <f>IFERROR(__xludf.DUMMYFUNCTION("IF(OR(A923="""",F923=""""),"""",TEXT(WORKDAY(DATE(VALUE(LEFT(TO_TEXT(A923),4)),VALUE(MID(TO_TEXT(A923),5,2)),VALUE(RIGHT(TO_TEXT(A923),2))),F923),""yyyymmdd""))"),"")</f>
        <v/>
      </c>
      <c r="H923" s="34" t="str">
        <f t="shared" si="1"/>
        <v/>
      </c>
      <c r="I923" s="35"/>
      <c r="J923" s="35"/>
      <c r="K923" s="35"/>
    </row>
    <row r="924">
      <c r="A924" s="33"/>
      <c r="G924" s="33" t="str">
        <f>IFERROR(__xludf.DUMMYFUNCTION("IF(OR(A924="""",F924=""""),"""",TEXT(WORKDAY(DATE(VALUE(LEFT(TO_TEXT(A924),4)),VALUE(MID(TO_TEXT(A924),5,2)),VALUE(RIGHT(TO_TEXT(A924),2))),F924),""yyyymmdd""))"),"")</f>
        <v/>
      </c>
      <c r="H924" s="34" t="str">
        <f t="shared" si="1"/>
        <v/>
      </c>
      <c r="I924" s="35"/>
      <c r="J924" s="35"/>
      <c r="K924" s="35"/>
    </row>
    <row r="925">
      <c r="A925" s="33"/>
      <c r="G925" s="33" t="str">
        <f>IFERROR(__xludf.DUMMYFUNCTION("IF(OR(A925="""",F925=""""),"""",TEXT(WORKDAY(DATE(VALUE(LEFT(TO_TEXT(A925),4)),VALUE(MID(TO_TEXT(A925),5,2)),VALUE(RIGHT(TO_TEXT(A925),2))),F925),""yyyymmdd""))"),"")</f>
        <v/>
      </c>
      <c r="H925" s="34" t="str">
        <f t="shared" si="1"/>
        <v/>
      </c>
      <c r="I925" s="35"/>
      <c r="J925" s="35"/>
      <c r="K925" s="35"/>
    </row>
    <row r="926">
      <c r="A926" s="33"/>
      <c r="G926" s="33" t="str">
        <f>IFERROR(__xludf.DUMMYFUNCTION("IF(OR(A926="""",F926=""""),"""",TEXT(WORKDAY(DATE(VALUE(LEFT(TO_TEXT(A926),4)),VALUE(MID(TO_TEXT(A926),5,2)),VALUE(RIGHT(TO_TEXT(A926),2))),F926),""yyyymmdd""))"),"")</f>
        <v/>
      </c>
      <c r="H926" s="34" t="str">
        <f t="shared" si="1"/>
        <v/>
      </c>
      <c r="I926" s="35"/>
      <c r="J926" s="35"/>
      <c r="K926" s="35"/>
    </row>
    <row r="927">
      <c r="A927" s="33"/>
      <c r="G927" s="33" t="str">
        <f>IFERROR(__xludf.DUMMYFUNCTION("IF(OR(A927="""",F927=""""),"""",TEXT(WORKDAY(DATE(VALUE(LEFT(TO_TEXT(A927),4)),VALUE(MID(TO_TEXT(A927),5,2)),VALUE(RIGHT(TO_TEXT(A927),2))),F927),""yyyymmdd""))"),"")</f>
        <v/>
      </c>
      <c r="H927" s="34" t="str">
        <f t="shared" si="1"/>
        <v/>
      </c>
      <c r="I927" s="35"/>
      <c r="J927" s="35"/>
      <c r="K927" s="35"/>
    </row>
    <row r="928">
      <c r="A928" s="33"/>
      <c r="G928" s="33" t="str">
        <f>IFERROR(__xludf.DUMMYFUNCTION("IF(OR(A928="""",F928=""""),"""",TEXT(WORKDAY(DATE(VALUE(LEFT(TO_TEXT(A928),4)),VALUE(MID(TO_TEXT(A928),5,2)),VALUE(RIGHT(TO_TEXT(A928),2))),F928),""yyyymmdd""))"),"")</f>
        <v/>
      </c>
      <c r="H928" s="34" t="str">
        <f t="shared" si="1"/>
        <v/>
      </c>
      <c r="I928" s="35"/>
      <c r="J928" s="35"/>
      <c r="K928" s="35"/>
    </row>
    <row r="929">
      <c r="A929" s="33"/>
      <c r="G929" s="33" t="str">
        <f>IFERROR(__xludf.DUMMYFUNCTION("IF(OR(A929="""",F929=""""),"""",TEXT(WORKDAY(DATE(VALUE(LEFT(TO_TEXT(A929),4)),VALUE(MID(TO_TEXT(A929),5,2)),VALUE(RIGHT(TO_TEXT(A929),2))),F929),""yyyymmdd""))"),"")</f>
        <v/>
      </c>
      <c r="H929" s="34" t="str">
        <f t="shared" si="1"/>
        <v/>
      </c>
      <c r="I929" s="35"/>
      <c r="J929" s="35"/>
      <c r="K929" s="35"/>
    </row>
    <row r="930">
      <c r="A930" s="33"/>
      <c r="G930" s="33" t="str">
        <f>IFERROR(__xludf.DUMMYFUNCTION("IF(OR(A930="""",F930=""""),"""",TEXT(WORKDAY(DATE(VALUE(LEFT(TO_TEXT(A930),4)),VALUE(MID(TO_TEXT(A930),5,2)),VALUE(RIGHT(TO_TEXT(A930),2))),F930),""yyyymmdd""))"),"")</f>
        <v/>
      </c>
      <c r="H930" s="34" t="str">
        <f t="shared" si="1"/>
        <v/>
      </c>
      <c r="I930" s="35"/>
      <c r="J930" s="35"/>
      <c r="K930" s="35"/>
    </row>
    <row r="931">
      <c r="A931" s="33"/>
      <c r="G931" s="33" t="str">
        <f>IFERROR(__xludf.DUMMYFUNCTION("IF(OR(A931="""",F931=""""),"""",TEXT(WORKDAY(DATE(VALUE(LEFT(TO_TEXT(A931),4)),VALUE(MID(TO_TEXT(A931),5,2)),VALUE(RIGHT(TO_TEXT(A931),2))),F931),""yyyymmdd""))"),"")</f>
        <v/>
      </c>
      <c r="H931" s="34" t="str">
        <f t="shared" si="1"/>
        <v/>
      </c>
      <c r="I931" s="35"/>
      <c r="J931" s="35"/>
      <c r="K931" s="35"/>
    </row>
    <row r="932">
      <c r="A932" s="33"/>
      <c r="G932" s="33" t="str">
        <f>IFERROR(__xludf.DUMMYFUNCTION("IF(OR(A932="""",F932=""""),"""",TEXT(WORKDAY(DATE(VALUE(LEFT(TO_TEXT(A932),4)),VALUE(MID(TO_TEXT(A932),5,2)),VALUE(RIGHT(TO_TEXT(A932),2))),F932),""yyyymmdd""))"),"")</f>
        <v/>
      </c>
      <c r="H932" s="34" t="str">
        <f t="shared" si="1"/>
        <v/>
      </c>
      <c r="I932" s="35"/>
      <c r="J932" s="35"/>
      <c r="K932" s="35"/>
    </row>
    <row r="933">
      <c r="A933" s="33"/>
      <c r="G933" s="33" t="str">
        <f>IFERROR(__xludf.DUMMYFUNCTION("IF(OR(A933="""",F933=""""),"""",TEXT(WORKDAY(DATE(VALUE(LEFT(TO_TEXT(A933),4)),VALUE(MID(TO_TEXT(A933),5,2)),VALUE(RIGHT(TO_TEXT(A933),2))),F933),""yyyymmdd""))"),"")</f>
        <v/>
      </c>
      <c r="H933" s="34" t="str">
        <f t="shared" si="1"/>
        <v/>
      </c>
      <c r="I933" s="35"/>
      <c r="J933" s="35"/>
      <c r="K933" s="35"/>
    </row>
    <row r="934">
      <c r="A934" s="33"/>
      <c r="G934" s="33" t="str">
        <f>IFERROR(__xludf.DUMMYFUNCTION("IF(OR(A934="""",F934=""""),"""",TEXT(WORKDAY(DATE(VALUE(LEFT(TO_TEXT(A934),4)),VALUE(MID(TO_TEXT(A934),5,2)),VALUE(RIGHT(TO_TEXT(A934),2))),F934),""yyyymmdd""))"),"")</f>
        <v/>
      </c>
      <c r="H934" s="34" t="str">
        <f t="shared" si="1"/>
        <v/>
      </c>
      <c r="I934" s="35"/>
      <c r="J934" s="35"/>
      <c r="K934" s="35"/>
    </row>
    <row r="935">
      <c r="A935" s="33"/>
      <c r="G935" s="33" t="str">
        <f>IFERROR(__xludf.DUMMYFUNCTION("IF(OR(A935="""",F935=""""),"""",TEXT(WORKDAY(DATE(VALUE(LEFT(TO_TEXT(A935),4)),VALUE(MID(TO_TEXT(A935),5,2)),VALUE(RIGHT(TO_TEXT(A935),2))),F935),""yyyymmdd""))"),"")</f>
        <v/>
      </c>
      <c r="H935" s="34" t="str">
        <f t="shared" si="1"/>
        <v/>
      </c>
      <c r="I935" s="35"/>
      <c r="J935" s="35"/>
      <c r="K935" s="35"/>
    </row>
    <row r="936">
      <c r="A936" s="33"/>
      <c r="G936" s="33" t="str">
        <f>IFERROR(__xludf.DUMMYFUNCTION("IF(OR(A936="""",F936=""""),"""",TEXT(WORKDAY(DATE(VALUE(LEFT(TO_TEXT(A936),4)),VALUE(MID(TO_TEXT(A936),5,2)),VALUE(RIGHT(TO_TEXT(A936),2))),F936),""yyyymmdd""))"),"")</f>
        <v/>
      </c>
      <c r="H936" s="34" t="str">
        <f t="shared" si="1"/>
        <v/>
      </c>
      <c r="I936" s="35"/>
      <c r="J936" s="35"/>
      <c r="K936" s="35"/>
    </row>
    <row r="937">
      <c r="A937" s="33"/>
      <c r="G937" s="33" t="str">
        <f>IFERROR(__xludf.DUMMYFUNCTION("IF(OR(A937="""",F937=""""),"""",TEXT(WORKDAY(DATE(VALUE(LEFT(TO_TEXT(A937),4)),VALUE(MID(TO_TEXT(A937),5,2)),VALUE(RIGHT(TO_TEXT(A937),2))),F937),""yyyymmdd""))"),"")</f>
        <v/>
      </c>
      <c r="H937" s="34" t="str">
        <f t="shared" si="1"/>
        <v/>
      </c>
      <c r="I937" s="35"/>
      <c r="J937" s="35"/>
      <c r="K937" s="35"/>
    </row>
    <row r="938">
      <c r="A938" s="33"/>
      <c r="G938" s="33" t="str">
        <f>IFERROR(__xludf.DUMMYFUNCTION("IF(OR(A938="""",F938=""""),"""",TEXT(WORKDAY(DATE(VALUE(LEFT(TO_TEXT(A938),4)),VALUE(MID(TO_TEXT(A938),5,2)),VALUE(RIGHT(TO_TEXT(A938),2))),F938),""yyyymmdd""))"),"")</f>
        <v/>
      </c>
      <c r="H938" s="34" t="str">
        <f t="shared" si="1"/>
        <v/>
      </c>
      <c r="I938" s="35"/>
      <c r="J938" s="35"/>
      <c r="K938" s="35"/>
    </row>
    <row r="939">
      <c r="A939" s="33"/>
      <c r="G939" s="33" t="str">
        <f>IFERROR(__xludf.DUMMYFUNCTION("IF(OR(A939="""",F939=""""),"""",TEXT(WORKDAY(DATE(VALUE(LEFT(TO_TEXT(A939),4)),VALUE(MID(TO_TEXT(A939),5,2)),VALUE(RIGHT(TO_TEXT(A939),2))),F939),""yyyymmdd""))"),"")</f>
        <v/>
      </c>
      <c r="H939" s="34" t="str">
        <f t="shared" si="1"/>
        <v/>
      </c>
      <c r="I939" s="35"/>
      <c r="J939" s="35"/>
      <c r="K939" s="35"/>
    </row>
    <row r="940">
      <c r="A940" s="33"/>
      <c r="G940" s="33" t="str">
        <f>IFERROR(__xludf.DUMMYFUNCTION("IF(OR(A940="""",F940=""""),"""",TEXT(WORKDAY(DATE(VALUE(LEFT(TO_TEXT(A940),4)),VALUE(MID(TO_TEXT(A940),5,2)),VALUE(RIGHT(TO_TEXT(A940),2))),F940),""yyyymmdd""))"),"")</f>
        <v/>
      </c>
      <c r="H940" s="34" t="str">
        <f t="shared" si="1"/>
        <v/>
      </c>
      <c r="I940" s="35"/>
      <c r="J940" s="35"/>
      <c r="K940" s="35"/>
    </row>
    <row r="941">
      <c r="A941" s="33"/>
      <c r="G941" s="33" t="str">
        <f>IFERROR(__xludf.DUMMYFUNCTION("IF(OR(A941="""",F941=""""),"""",TEXT(WORKDAY(DATE(VALUE(LEFT(TO_TEXT(A941),4)),VALUE(MID(TO_TEXT(A941),5,2)),VALUE(RIGHT(TO_TEXT(A941),2))),F941),""yyyymmdd""))"),"")</f>
        <v/>
      </c>
      <c r="H941" s="34" t="str">
        <f t="shared" si="1"/>
        <v/>
      </c>
      <c r="I941" s="35"/>
      <c r="J941" s="35"/>
      <c r="K941" s="35"/>
    </row>
    <row r="942">
      <c r="A942" s="33"/>
      <c r="G942" s="33" t="str">
        <f>IFERROR(__xludf.DUMMYFUNCTION("IF(OR(A942="""",F942=""""),"""",TEXT(WORKDAY(DATE(VALUE(LEFT(TO_TEXT(A942),4)),VALUE(MID(TO_TEXT(A942),5,2)),VALUE(RIGHT(TO_TEXT(A942),2))),F942),""yyyymmdd""))"),"")</f>
        <v/>
      </c>
      <c r="H942" s="34" t="str">
        <f t="shared" si="1"/>
        <v/>
      </c>
      <c r="I942" s="35"/>
      <c r="J942" s="35"/>
      <c r="K942" s="35"/>
    </row>
    <row r="943">
      <c r="A943" s="33"/>
      <c r="G943" s="33" t="str">
        <f>IFERROR(__xludf.DUMMYFUNCTION("IF(OR(A943="""",F943=""""),"""",TEXT(WORKDAY(DATE(VALUE(LEFT(TO_TEXT(A943),4)),VALUE(MID(TO_TEXT(A943),5,2)),VALUE(RIGHT(TO_TEXT(A943),2))),F943),""yyyymmdd""))"),"")</f>
        <v/>
      </c>
      <c r="H943" s="34" t="str">
        <f t="shared" si="1"/>
        <v/>
      </c>
      <c r="I943" s="35"/>
      <c r="J943" s="35"/>
      <c r="K943" s="35"/>
    </row>
    <row r="944">
      <c r="A944" s="33"/>
      <c r="G944" s="33" t="str">
        <f>IFERROR(__xludf.DUMMYFUNCTION("IF(OR(A944="""",F944=""""),"""",TEXT(WORKDAY(DATE(VALUE(LEFT(TO_TEXT(A944),4)),VALUE(MID(TO_TEXT(A944),5,2)),VALUE(RIGHT(TO_TEXT(A944),2))),F944),""yyyymmdd""))"),"")</f>
        <v/>
      </c>
      <c r="H944" s="34" t="str">
        <f t="shared" si="1"/>
        <v/>
      </c>
      <c r="I944" s="35"/>
      <c r="J944" s="35"/>
      <c r="K944" s="35"/>
    </row>
    <row r="945">
      <c r="A945" s="33"/>
      <c r="G945" s="33" t="str">
        <f>IFERROR(__xludf.DUMMYFUNCTION("IF(OR(A945="""",F945=""""),"""",TEXT(WORKDAY(DATE(VALUE(LEFT(TO_TEXT(A945),4)),VALUE(MID(TO_TEXT(A945),5,2)),VALUE(RIGHT(TO_TEXT(A945),2))),F945),""yyyymmdd""))"),"")</f>
        <v/>
      </c>
      <c r="H945" s="34" t="str">
        <f t="shared" si="1"/>
        <v/>
      </c>
      <c r="I945" s="35"/>
      <c r="J945" s="35"/>
      <c r="K945" s="35"/>
    </row>
    <row r="946">
      <c r="A946" s="33"/>
      <c r="G946" s="33" t="str">
        <f>IFERROR(__xludf.DUMMYFUNCTION("IF(OR(A946="""",F946=""""),"""",TEXT(WORKDAY(DATE(VALUE(LEFT(TO_TEXT(A946),4)),VALUE(MID(TO_TEXT(A946),5,2)),VALUE(RIGHT(TO_TEXT(A946),2))),F946),""yyyymmdd""))"),"")</f>
        <v/>
      </c>
      <c r="H946" s="34" t="str">
        <f t="shared" si="1"/>
        <v/>
      </c>
      <c r="I946" s="35"/>
      <c r="J946" s="35"/>
      <c r="K946" s="35"/>
    </row>
    <row r="947">
      <c r="A947" s="33"/>
      <c r="G947" s="33" t="str">
        <f>IFERROR(__xludf.DUMMYFUNCTION("IF(OR(A947="""",F947=""""),"""",TEXT(WORKDAY(DATE(VALUE(LEFT(TO_TEXT(A947),4)),VALUE(MID(TO_TEXT(A947),5,2)),VALUE(RIGHT(TO_TEXT(A947),2))),F947),""yyyymmdd""))"),"")</f>
        <v/>
      </c>
      <c r="H947" s="34" t="str">
        <f t="shared" si="1"/>
        <v/>
      </c>
      <c r="I947" s="35"/>
      <c r="J947" s="35"/>
      <c r="K947" s="35"/>
    </row>
    <row r="948">
      <c r="A948" s="33"/>
      <c r="G948" s="33" t="str">
        <f>IFERROR(__xludf.DUMMYFUNCTION("IF(OR(A948="""",F948=""""),"""",TEXT(WORKDAY(DATE(VALUE(LEFT(TO_TEXT(A948),4)),VALUE(MID(TO_TEXT(A948),5,2)),VALUE(RIGHT(TO_TEXT(A948),2))),F948),""yyyymmdd""))"),"")</f>
        <v/>
      </c>
      <c r="H948" s="34" t="str">
        <f t="shared" si="1"/>
        <v/>
      </c>
      <c r="I948" s="35"/>
      <c r="J948" s="35"/>
      <c r="K948" s="35"/>
    </row>
    <row r="949">
      <c r="A949" s="33"/>
      <c r="G949" s="33" t="str">
        <f>IFERROR(__xludf.DUMMYFUNCTION("IF(OR(A949="""",F949=""""),"""",TEXT(WORKDAY(DATE(VALUE(LEFT(TO_TEXT(A949),4)),VALUE(MID(TO_TEXT(A949),5,2)),VALUE(RIGHT(TO_TEXT(A949),2))),F949),""yyyymmdd""))"),"")</f>
        <v/>
      </c>
      <c r="H949" s="34" t="str">
        <f t="shared" si="1"/>
        <v/>
      </c>
      <c r="I949" s="35"/>
      <c r="J949" s="35"/>
      <c r="K949" s="35"/>
    </row>
    <row r="950">
      <c r="A950" s="33"/>
      <c r="G950" s="33" t="str">
        <f>IFERROR(__xludf.DUMMYFUNCTION("IF(OR(A950="""",F950=""""),"""",TEXT(WORKDAY(DATE(VALUE(LEFT(TO_TEXT(A950),4)),VALUE(MID(TO_TEXT(A950),5,2)),VALUE(RIGHT(TO_TEXT(A950),2))),F950),""yyyymmdd""))"),"")</f>
        <v/>
      </c>
      <c r="H950" s="34" t="str">
        <f t="shared" si="1"/>
        <v/>
      </c>
      <c r="I950" s="35"/>
      <c r="J950" s="35"/>
      <c r="K950" s="35"/>
    </row>
    <row r="951">
      <c r="A951" s="33"/>
      <c r="G951" s="33" t="str">
        <f>IFERROR(__xludf.DUMMYFUNCTION("IF(OR(A951="""",F951=""""),"""",TEXT(WORKDAY(DATE(VALUE(LEFT(TO_TEXT(A951),4)),VALUE(MID(TO_TEXT(A951),5,2)),VALUE(RIGHT(TO_TEXT(A951),2))),F951),""yyyymmdd""))"),"")</f>
        <v/>
      </c>
      <c r="H951" s="34" t="str">
        <f t="shared" si="1"/>
        <v/>
      </c>
      <c r="I951" s="35"/>
      <c r="J951" s="35"/>
      <c r="K951" s="35"/>
    </row>
    <row r="952">
      <c r="A952" s="33"/>
      <c r="G952" s="33" t="str">
        <f>IFERROR(__xludf.DUMMYFUNCTION("IF(OR(A952="""",F952=""""),"""",TEXT(WORKDAY(DATE(VALUE(LEFT(TO_TEXT(A952),4)),VALUE(MID(TO_TEXT(A952),5,2)),VALUE(RIGHT(TO_TEXT(A952),2))),F952),""yyyymmdd""))"),"")</f>
        <v/>
      </c>
      <c r="H952" s="34" t="str">
        <f t="shared" si="1"/>
        <v/>
      </c>
      <c r="I952" s="35"/>
      <c r="J952" s="35"/>
      <c r="K952" s="35"/>
    </row>
    <row r="953">
      <c r="A953" s="33"/>
      <c r="G953" s="33" t="str">
        <f>IFERROR(__xludf.DUMMYFUNCTION("IF(OR(A953="""",F953=""""),"""",TEXT(WORKDAY(DATE(VALUE(LEFT(TO_TEXT(A953),4)),VALUE(MID(TO_TEXT(A953),5,2)),VALUE(RIGHT(TO_TEXT(A953),2))),F953),""yyyymmdd""))"),"")</f>
        <v/>
      </c>
      <c r="H953" s="34" t="str">
        <f t="shared" si="1"/>
        <v/>
      </c>
      <c r="I953" s="35"/>
      <c r="J953" s="35"/>
      <c r="K953" s="35"/>
    </row>
    <row r="954">
      <c r="A954" s="33"/>
      <c r="G954" s="33" t="str">
        <f>IFERROR(__xludf.DUMMYFUNCTION("IF(OR(A954="""",F954=""""),"""",TEXT(WORKDAY(DATE(VALUE(LEFT(TO_TEXT(A954),4)),VALUE(MID(TO_TEXT(A954),5,2)),VALUE(RIGHT(TO_TEXT(A954),2))),F954),""yyyymmdd""))"),"")</f>
        <v/>
      </c>
      <c r="H954" s="34" t="str">
        <f t="shared" si="1"/>
        <v/>
      </c>
      <c r="I954" s="35"/>
      <c r="J954" s="35"/>
      <c r="K954" s="35"/>
    </row>
    <row r="955">
      <c r="A955" s="33"/>
      <c r="G955" s="33" t="str">
        <f>IFERROR(__xludf.DUMMYFUNCTION("IF(OR(A955="""",F955=""""),"""",TEXT(WORKDAY(DATE(VALUE(LEFT(TO_TEXT(A955),4)),VALUE(MID(TO_TEXT(A955),5,2)),VALUE(RIGHT(TO_TEXT(A955),2))),F955),""yyyymmdd""))"),"")</f>
        <v/>
      </c>
      <c r="H955" s="34" t="str">
        <f t="shared" si="1"/>
        <v/>
      </c>
      <c r="I955" s="35"/>
      <c r="J955" s="35"/>
      <c r="K955" s="35"/>
    </row>
    <row r="956">
      <c r="A956" s="33"/>
      <c r="G956" s="33" t="str">
        <f>IFERROR(__xludf.DUMMYFUNCTION("IF(OR(A956="""",F956=""""),"""",TEXT(WORKDAY(DATE(VALUE(LEFT(TO_TEXT(A956),4)),VALUE(MID(TO_TEXT(A956),5,2)),VALUE(RIGHT(TO_TEXT(A956),2))),F956),""yyyymmdd""))"),"")</f>
        <v/>
      </c>
      <c r="H956" s="34" t="str">
        <f t="shared" si="1"/>
        <v/>
      </c>
      <c r="I956" s="35"/>
      <c r="J956" s="35"/>
      <c r="K956" s="35"/>
    </row>
    <row r="957">
      <c r="A957" s="33"/>
      <c r="G957" s="33" t="str">
        <f>IFERROR(__xludf.DUMMYFUNCTION("IF(OR(A957="""",F957=""""),"""",TEXT(WORKDAY(DATE(VALUE(LEFT(TO_TEXT(A957),4)),VALUE(MID(TO_TEXT(A957),5,2)),VALUE(RIGHT(TO_TEXT(A957),2))),F957),""yyyymmdd""))"),"")</f>
        <v/>
      </c>
      <c r="H957" s="34" t="str">
        <f t="shared" si="1"/>
        <v/>
      </c>
      <c r="I957" s="35"/>
      <c r="J957" s="35"/>
      <c r="K957" s="35"/>
    </row>
    <row r="958">
      <c r="A958" s="33"/>
      <c r="G958" s="33" t="str">
        <f>IFERROR(__xludf.DUMMYFUNCTION("IF(OR(A958="""",F958=""""),"""",TEXT(WORKDAY(DATE(VALUE(LEFT(TO_TEXT(A958),4)),VALUE(MID(TO_TEXT(A958),5,2)),VALUE(RIGHT(TO_TEXT(A958),2))),F958),""yyyymmdd""))"),"")</f>
        <v/>
      </c>
      <c r="H958" s="34" t="str">
        <f t="shared" si="1"/>
        <v/>
      </c>
      <c r="I958" s="35"/>
      <c r="J958" s="35"/>
      <c r="K958" s="35"/>
    </row>
    <row r="959">
      <c r="A959" s="33"/>
      <c r="G959" s="33" t="str">
        <f>IFERROR(__xludf.DUMMYFUNCTION("IF(OR(A959="""",F959=""""),"""",TEXT(WORKDAY(DATE(VALUE(LEFT(TO_TEXT(A959),4)),VALUE(MID(TO_TEXT(A959),5,2)),VALUE(RIGHT(TO_TEXT(A959),2))),F959),""yyyymmdd""))"),"")</f>
        <v/>
      </c>
      <c r="H959" s="34" t="str">
        <f t="shared" si="1"/>
        <v/>
      </c>
      <c r="I959" s="35"/>
      <c r="J959" s="35"/>
      <c r="K959" s="35"/>
    </row>
    <row r="960">
      <c r="A960" s="33"/>
      <c r="G960" s="33" t="str">
        <f>IFERROR(__xludf.DUMMYFUNCTION("IF(OR(A960="""",F960=""""),"""",TEXT(WORKDAY(DATE(VALUE(LEFT(TO_TEXT(A960),4)),VALUE(MID(TO_TEXT(A960),5,2)),VALUE(RIGHT(TO_TEXT(A960),2))),F960),""yyyymmdd""))"),"")</f>
        <v/>
      </c>
      <c r="H960" s="34" t="str">
        <f t="shared" si="1"/>
        <v/>
      </c>
      <c r="I960" s="35"/>
      <c r="J960" s="35"/>
      <c r="K960" s="35"/>
    </row>
    <row r="961">
      <c r="A961" s="33"/>
      <c r="G961" s="33" t="str">
        <f>IFERROR(__xludf.DUMMYFUNCTION("IF(OR(A961="""",F961=""""),"""",TEXT(WORKDAY(DATE(VALUE(LEFT(TO_TEXT(A961),4)),VALUE(MID(TO_TEXT(A961),5,2)),VALUE(RIGHT(TO_TEXT(A961),2))),F961),""yyyymmdd""))"),"")</f>
        <v/>
      </c>
      <c r="H961" s="34" t="str">
        <f t="shared" si="1"/>
        <v/>
      </c>
      <c r="I961" s="35"/>
      <c r="J961" s="35"/>
      <c r="K961" s="35"/>
    </row>
    <row r="962">
      <c r="A962" s="33"/>
      <c r="G962" s="33" t="str">
        <f>IFERROR(__xludf.DUMMYFUNCTION("IF(OR(A962="""",F962=""""),"""",TEXT(WORKDAY(DATE(VALUE(LEFT(TO_TEXT(A962),4)),VALUE(MID(TO_TEXT(A962),5,2)),VALUE(RIGHT(TO_TEXT(A962),2))),F962),""yyyymmdd""))"),"")</f>
        <v/>
      </c>
      <c r="H962" s="34" t="str">
        <f t="shared" si="1"/>
        <v/>
      </c>
      <c r="I962" s="35"/>
      <c r="J962" s="35"/>
      <c r="K962" s="35"/>
    </row>
    <row r="963">
      <c r="A963" s="33"/>
      <c r="G963" s="33" t="str">
        <f>IFERROR(__xludf.DUMMYFUNCTION("IF(OR(A963="""",F963=""""),"""",TEXT(WORKDAY(DATE(VALUE(LEFT(TO_TEXT(A963),4)),VALUE(MID(TO_TEXT(A963),5,2)),VALUE(RIGHT(TO_TEXT(A963),2))),F963),""yyyymmdd""))"),"")</f>
        <v/>
      </c>
      <c r="H963" s="34" t="str">
        <f t="shared" si="1"/>
        <v/>
      </c>
      <c r="I963" s="35"/>
      <c r="J963" s="35"/>
      <c r="K963" s="35"/>
    </row>
    <row r="964">
      <c r="A964" s="33"/>
      <c r="G964" s="33" t="str">
        <f>IFERROR(__xludf.DUMMYFUNCTION("IF(OR(A964="""",F964=""""),"""",TEXT(WORKDAY(DATE(VALUE(LEFT(TO_TEXT(A964),4)),VALUE(MID(TO_TEXT(A964),5,2)),VALUE(RIGHT(TO_TEXT(A964),2))),F964),""yyyymmdd""))"),"")</f>
        <v/>
      </c>
      <c r="H964" s="34" t="str">
        <f t="shared" si="1"/>
        <v/>
      </c>
      <c r="I964" s="35"/>
      <c r="J964" s="35"/>
      <c r="K964" s="35"/>
    </row>
    <row r="965">
      <c r="A965" s="33"/>
      <c r="G965" s="33" t="str">
        <f>IFERROR(__xludf.DUMMYFUNCTION("IF(OR(A965="""",F965=""""),"""",TEXT(WORKDAY(DATE(VALUE(LEFT(TO_TEXT(A965),4)),VALUE(MID(TO_TEXT(A965),5,2)),VALUE(RIGHT(TO_TEXT(A965),2))),F965),""yyyymmdd""))"),"")</f>
        <v/>
      </c>
      <c r="H965" s="34" t="str">
        <f t="shared" si="1"/>
        <v/>
      </c>
      <c r="I965" s="35"/>
      <c r="J965" s="35"/>
      <c r="K965" s="35"/>
    </row>
    <row r="966">
      <c r="A966" s="33"/>
      <c r="G966" s="33" t="str">
        <f>IFERROR(__xludf.DUMMYFUNCTION("IF(OR(A966="""",F966=""""),"""",TEXT(WORKDAY(DATE(VALUE(LEFT(TO_TEXT(A966),4)),VALUE(MID(TO_TEXT(A966),5,2)),VALUE(RIGHT(TO_TEXT(A966),2))),F966),""yyyymmdd""))"),"")</f>
        <v/>
      </c>
      <c r="H966" s="34" t="str">
        <f t="shared" si="1"/>
        <v/>
      </c>
      <c r="I966" s="35"/>
      <c r="J966" s="35"/>
      <c r="K966" s="35"/>
    </row>
    <row r="967">
      <c r="A967" s="33"/>
      <c r="G967" s="33" t="str">
        <f>IFERROR(__xludf.DUMMYFUNCTION("IF(OR(A967="""",F967=""""),"""",TEXT(WORKDAY(DATE(VALUE(LEFT(TO_TEXT(A967),4)),VALUE(MID(TO_TEXT(A967),5,2)),VALUE(RIGHT(TO_TEXT(A967),2))),F967),""yyyymmdd""))"),"")</f>
        <v/>
      </c>
      <c r="H967" s="34" t="str">
        <f t="shared" si="1"/>
        <v/>
      </c>
      <c r="I967" s="35"/>
      <c r="J967" s="35"/>
      <c r="K967" s="35"/>
    </row>
    <row r="968">
      <c r="A968" s="33"/>
      <c r="G968" s="33" t="str">
        <f>IFERROR(__xludf.DUMMYFUNCTION("IF(OR(A968="""",F968=""""),"""",TEXT(WORKDAY(DATE(VALUE(LEFT(TO_TEXT(A968),4)),VALUE(MID(TO_TEXT(A968),5,2)),VALUE(RIGHT(TO_TEXT(A968),2))),F968),""yyyymmdd""))"),"")</f>
        <v/>
      </c>
      <c r="H968" s="34" t="str">
        <f t="shared" si="1"/>
        <v/>
      </c>
      <c r="I968" s="35"/>
      <c r="J968" s="35"/>
      <c r="K968" s="35"/>
    </row>
    <row r="969">
      <c r="A969" s="33"/>
      <c r="G969" s="33" t="str">
        <f>IFERROR(__xludf.DUMMYFUNCTION("IF(OR(A969="""",F969=""""),"""",TEXT(WORKDAY(DATE(VALUE(LEFT(TO_TEXT(A969),4)),VALUE(MID(TO_TEXT(A969),5,2)),VALUE(RIGHT(TO_TEXT(A969),2))),F969),""yyyymmdd""))"),"")</f>
        <v/>
      </c>
      <c r="H969" s="34" t="str">
        <f t="shared" si="1"/>
        <v/>
      </c>
      <c r="I969" s="35"/>
      <c r="J969" s="35"/>
      <c r="K969" s="35"/>
    </row>
    <row r="970">
      <c r="A970" s="33"/>
      <c r="G970" s="33" t="str">
        <f>IFERROR(__xludf.DUMMYFUNCTION("IF(OR(A970="""",F970=""""),"""",TEXT(WORKDAY(DATE(VALUE(LEFT(TO_TEXT(A970),4)),VALUE(MID(TO_TEXT(A970),5,2)),VALUE(RIGHT(TO_TEXT(A970),2))),F970),""yyyymmdd""))"),"")</f>
        <v/>
      </c>
      <c r="H970" s="34" t="str">
        <f t="shared" si="1"/>
        <v/>
      </c>
      <c r="I970" s="35"/>
      <c r="J970" s="35"/>
      <c r="K970" s="35"/>
    </row>
    <row r="971">
      <c r="A971" s="33"/>
      <c r="G971" s="33" t="str">
        <f>IFERROR(__xludf.DUMMYFUNCTION("IF(OR(A971="""",F971=""""),"""",TEXT(WORKDAY(DATE(VALUE(LEFT(TO_TEXT(A971),4)),VALUE(MID(TO_TEXT(A971),5,2)),VALUE(RIGHT(TO_TEXT(A971),2))),F971),""yyyymmdd""))"),"")</f>
        <v/>
      </c>
      <c r="H971" s="34" t="str">
        <f t="shared" si="1"/>
        <v/>
      </c>
      <c r="I971" s="35"/>
      <c r="J971" s="35"/>
      <c r="K971" s="35"/>
    </row>
    <row r="972">
      <c r="A972" s="33"/>
      <c r="G972" s="33" t="str">
        <f>IFERROR(__xludf.DUMMYFUNCTION("IF(OR(A972="""",F972=""""),"""",TEXT(WORKDAY(DATE(VALUE(LEFT(TO_TEXT(A972),4)),VALUE(MID(TO_TEXT(A972),5,2)),VALUE(RIGHT(TO_TEXT(A972),2))),F972),""yyyymmdd""))"),"")</f>
        <v/>
      </c>
      <c r="H972" s="34" t="str">
        <f t="shared" si="1"/>
        <v/>
      </c>
      <c r="I972" s="35"/>
      <c r="J972" s="35"/>
      <c r="K972" s="35"/>
    </row>
    <row r="973">
      <c r="A973" s="33"/>
      <c r="G973" s="33" t="str">
        <f>IFERROR(__xludf.DUMMYFUNCTION("IF(OR(A973="""",F973=""""),"""",TEXT(WORKDAY(DATE(VALUE(LEFT(TO_TEXT(A973),4)),VALUE(MID(TO_TEXT(A973),5,2)),VALUE(RIGHT(TO_TEXT(A973),2))),F973),""yyyymmdd""))"),"")</f>
        <v/>
      </c>
      <c r="H973" s="34" t="str">
        <f t="shared" si="1"/>
        <v/>
      </c>
      <c r="I973" s="35"/>
      <c r="J973" s="35"/>
      <c r="K973" s="35"/>
    </row>
    <row r="974">
      <c r="A974" s="33"/>
      <c r="G974" s="33" t="str">
        <f>IFERROR(__xludf.DUMMYFUNCTION("IF(OR(A974="""",F974=""""),"""",TEXT(WORKDAY(DATE(VALUE(LEFT(TO_TEXT(A974),4)),VALUE(MID(TO_TEXT(A974),5,2)),VALUE(RIGHT(TO_TEXT(A974),2))),F974),""yyyymmdd""))"),"")</f>
        <v/>
      </c>
      <c r="H974" s="34" t="str">
        <f t="shared" si="1"/>
        <v/>
      </c>
      <c r="I974" s="35"/>
      <c r="J974" s="35"/>
      <c r="K974" s="35"/>
    </row>
    <row r="975">
      <c r="A975" s="33"/>
      <c r="G975" s="33" t="str">
        <f>IFERROR(__xludf.DUMMYFUNCTION("IF(OR(A975="""",F975=""""),"""",TEXT(WORKDAY(DATE(VALUE(LEFT(TO_TEXT(A975),4)),VALUE(MID(TO_TEXT(A975),5,2)),VALUE(RIGHT(TO_TEXT(A975),2))),F975),""yyyymmdd""))"),"")</f>
        <v/>
      </c>
      <c r="H975" s="34" t="str">
        <f t="shared" si="1"/>
        <v/>
      </c>
      <c r="I975" s="35"/>
      <c r="J975" s="35"/>
      <c r="K975" s="35"/>
    </row>
    <row r="976">
      <c r="A976" s="33"/>
      <c r="G976" s="33" t="str">
        <f>IFERROR(__xludf.DUMMYFUNCTION("IF(OR(A976="""",F976=""""),"""",TEXT(WORKDAY(DATE(VALUE(LEFT(TO_TEXT(A976),4)),VALUE(MID(TO_TEXT(A976),5,2)),VALUE(RIGHT(TO_TEXT(A976),2))),F976),""yyyymmdd""))"),"")</f>
        <v/>
      </c>
      <c r="H976" s="34" t="str">
        <f t="shared" si="1"/>
        <v/>
      </c>
      <c r="I976" s="35"/>
      <c r="J976" s="35"/>
      <c r="K976" s="35"/>
    </row>
    <row r="977">
      <c r="A977" s="33"/>
      <c r="G977" s="33" t="str">
        <f>IFERROR(__xludf.DUMMYFUNCTION("IF(OR(A977="""",F977=""""),"""",TEXT(WORKDAY(DATE(VALUE(LEFT(TO_TEXT(A977),4)),VALUE(MID(TO_TEXT(A977),5,2)),VALUE(RIGHT(TO_TEXT(A977),2))),F977),""yyyymmdd""))"),"")</f>
        <v/>
      </c>
      <c r="H977" s="34" t="str">
        <f t="shared" si="1"/>
        <v/>
      </c>
      <c r="I977" s="35"/>
      <c r="J977" s="35"/>
      <c r="K977" s="35"/>
    </row>
    <row r="978">
      <c r="A978" s="33"/>
      <c r="G978" s="33" t="str">
        <f>IFERROR(__xludf.DUMMYFUNCTION("IF(OR(A978="""",F978=""""),"""",TEXT(WORKDAY(DATE(VALUE(LEFT(TO_TEXT(A978),4)),VALUE(MID(TO_TEXT(A978),5,2)),VALUE(RIGHT(TO_TEXT(A978),2))),F978),""yyyymmdd""))"),"")</f>
        <v/>
      </c>
      <c r="H978" s="34" t="str">
        <f t="shared" si="1"/>
        <v/>
      </c>
      <c r="I978" s="35"/>
      <c r="J978" s="35"/>
      <c r="K978" s="35"/>
    </row>
    <row r="979">
      <c r="A979" s="33"/>
      <c r="G979" s="33" t="str">
        <f>IFERROR(__xludf.DUMMYFUNCTION("IF(OR(A979="""",F979=""""),"""",TEXT(WORKDAY(DATE(VALUE(LEFT(TO_TEXT(A979),4)),VALUE(MID(TO_TEXT(A979),5,2)),VALUE(RIGHT(TO_TEXT(A979),2))),F979),""yyyymmdd""))"),"")</f>
        <v/>
      </c>
      <c r="H979" s="34" t="str">
        <f t="shared" si="1"/>
        <v/>
      </c>
      <c r="I979" s="35"/>
      <c r="J979" s="35"/>
      <c r="K979" s="35"/>
    </row>
    <row r="980">
      <c r="A980" s="33"/>
      <c r="G980" s="33" t="str">
        <f>IFERROR(__xludf.DUMMYFUNCTION("IF(OR(A980="""",F980=""""),"""",TEXT(WORKDAY(DATE(VALUE(LEFT(TO_TEXT(A980),4)),VALUE(MID(TO_TEXT(A980),5,2)),VALUE(RIGHT(TO_TEXT(A980),2))),F980),""yyyymmdd""))"),"")</f>
        <v/>
      </c>
      <c r="H980" s="34" t="str">
        <f t="shared" si="1"/>
        <v/>
      </c>
      <c r="I980" s="35"/>
      <c r="J980" s="35"/>
      <c r="K980" s="35"/>
    </row>
    <row r="981">
      <c r="A981" s="33"/>
      <c r="G981" s="33" t="str">
        <f>IFERROR(__xludf.DUMMYFUNCTION("IF(OR(A981="""",F981=""""),"""",TEXT(WORKDAY(DATE(VALUE(LEFT(TO_TEXT(A981),4)),VALUE(MID(TO_TEXT(A981),5,2)),VALUE(RIGHT(TO_TEXT(A981),2))),F981),""yyyymmdd""))"),"")</f>
        <v/>
      </c>
      <c r="H981" s="34" t="str">
        <f t="shared" si="1"/>
        <v/>
      </c>
      <c r="I981" s="35"/>
      <c r="J981" s="35"/>
      <c r="K981" s="35"/>
    </row>
    <row r="982">
      <c r="A982" s="33"/>
      <c r="G982" s="33" t="str">
        <f>IFERROR(__xludf.DUMMYFUNCTION("IF(OR(A982="""",F982=""""),"""",TEXT(WORKDAY(DATE(VALUE(LEFT(TO_TEXT(A982),4)),VALUE(MID(TO_TEXT(A982),5,2)),VALUE(RIGHT(TO_TEXT(A982),2))),F982),""yyyymmdd""))"),"")</f>
        <v/>
      </c>
      <c r="H982" s="34" t="str">
        <f t="shared" si="1"/>
        <v/>
      </c>
      <c r="I982" s="35"/>
      <c r="J982" s="35"/>
      <c r="K982" s="35"/>
    </row>
    <row r="983">
      <c r="A983" s="33"/>
      <c r="G983" s="33" t="str">
        <f>IFERROR(__xludf.DUMMYFUNCTION("IF(OR(A983="""",F983=""""),"""",TEXT(WORKDAY(DATE(VALUE(LEFT(TO_TEXT(A983),4)),VALUE(MID(TO_TEXT(A983),5,2)),VALUE(RIGHT(TO_TEXT(A983),2))),F983),""yyyymmdd""))"),"")</f>
        <v/>
      </c>
      <c r="H983" s="34" t="str">
        <f t="shared" si="1"/>
        <v/>
      </c>
      <c r="I983" s="35"/>
      <c r="J983" s="35"/>
      <c r="K983" s="35"/>
    </row>
    <row r="984">
      <c r="A984" s="33"/>
      <c r="G984" s="33" t="str">
        <f>IFERROR(__xludf.DUMMYFUNCTION("IF(OR(A984="""",F984=""""),"""",TEXT(WORKDAY(DATE(VALUE(LEFT(TO_TEXT(A984),4)),VALUE(MID(TO_TEXT(A984),5,2)),VALUE(RIGHT(TO_TEXT(A984),2))),F984),""yyyymmdd""))"),"")</f>
        <v/>
      </c>
      <c r="H984" s="34" t="str">
        <f t="shared" si="1"/>
        <v/>
      </c>
      <c r="I984" s="35"/>
      <c r="J984" s="35"/>
      <c r="K984" s="35"/>
    </row>
    <row r="985">
      <c r="A985" s="33"/>
      <c r="G985" s="33" t="str">
        <f>IFERROR(__xludf.DUMMYFUNCTION("IF(OR(A985="""",F985=""""),"""",TEXT(WORKDAY(DATE(VALUE(LEFT(TO_TEXT(A985),4)),VALUE(MID(TO_TEXT(A985),5,2)),VALUE(RIGHT(TO_TEXT(A985),2))),F985),""yyyymmdd""))"),"")</f>
        <v/>
      </c>
      <c r="H985" s="34" t="str">
        <f t="shared" si="1"/>
        <v/>
      </c>
      <c r="I985" s="35"/>
      <c r="J985" s="35"/>
      <c r="K985" s="35"/>
    </row>
    <row r="986">
      <c r="A986" s="33"/>
      <c r="G986" s="33" t="str">
        <f>IFERROR(__xludf.DUMMYFUNCTION("IF(OR(A986="""",F986=""""),"""",TEXT(WORKDAY(DATE(VALUE(LEFT(TO_TEXT(A986),4)),VALUE(MID(TO_TEXT(A986),5,2)),VALUE(RIGHT(TO_TEXT(A986),2))),F986),""yyyymmdd""))"),"")</f>
        <v/>
      </c>
      <c r="H986" s="34" t="str">
        <f t="shared" si="1"/>
        <v/>
      </c>
      <c r="I986" s="35"/>
      <c r="J986" s="35"/>
      <c r="K986" s="35"/>
    </row>
    <row r="987">
      <c r="A987" s="33"/>
      <c r="G987" s="33" t="str">
        <f>IFERROR(__xludf.DUMMYFUNCTION("IF(OR(A987="""",F987=""""),"""",TEXT(WORKDAY(DATE(VALUE(LEFT(TO_TEXT(A987),4)),VALUE(MID(TO_TEXT(A987),5,2)),VALUE(RIGHT(TO_TEXT(A987),2))),F987),""yyyymmdd""))"),"")</f>
        <v/>
      </c>
      <c r="H987" s="34" t="str">
        <f t="shared" si="1"/>
        <v/>
      </c>
      <c r="I987" s="35"/>
      <c r="J987" s="35"/>
      <c r="K987" s="35"/>
    </row>
    <row r="988">
      <c r="A988" s="33"/>
      <c r="G988" s="33" t="str">
        <f>IFERROR(__xludf.DUMMYFUNCTION("IF(OR(A988="""",F988=""""),"""",TEXT(WORKDAY(DATE(VALUE(LEFT(TO_TEXT(A988),4)),VALUE(MID(TO_TEXT(A988),5,2)),VALUE(RIGHT(TO_TEXT(A988),2))),F988),""yyyymmdd""))"),"")</f>
        <v/>
      </c>
      <c r="H988" s="34" t="str">
        <f t="shared" si="1"/>
        <v/>
      </c>
      <c r="I988" s="35"/>
      <c r="J988" s="35"/>
      <c r="K988" s="35"/>
    </row>
    <row r="989">
      <c r="A989" s="33"/>
      <c r="G989" s="33" t="str">
        <f>IFERROR(__xludf.DUMMYFUNCTION("IF(OR(A989="""",F989=""""),"""",TEXT(WORKDAY(DATE(VALUE(LEFT(TO_TEXT(A989),4)),VALUE(MID(TO_TEXT(A989),5,2)),VALUE(RIGHT(TO_TEXT(A989),2))),F989),""yyyymmdd""))"),"")</f>
        <v/>
      </c>
      <c r="H989" s="34" t="str">
        <f t="shared" si="1"/>
        <v/>
      </c>
      <c r="I989" s="35"/>
      <c r="J989" s="35"/>
      <c r="K989" s="35"/>
    </row>
    <row r="990">
      <c r="A990" s="33"/>
      <c r="G990" s="33" t="str">
        <f>IFERROR(__xludf.DUMMYFUNCTION("IF(OR(A990="""",F990=""""),"""",TEXT(WORKDAY(DATE(VALUE(LEFT(TO_TEXT(A990),4)),VALUE(MID(TO_TEXT(A990),5,2)),VALUE(RIGHT(TO_TEXT(A990),2))),F990),""yyyymmdd""))"),"")</f>
        <v/>
      </c>
      <c r="H990" s="34" t="str">
        <f t="shared" si="1"/>
        <v/>
      </c>
      <c r="I990" s="35"/>
      <c r="J990" s="35"/>
      <c r="K990" s="35"/>
    </row>
  </sheetData>
  <conditionalFormatting sqref="G2:G990">
    <cfRule type="expression" dxfId="0" priority="1" stopIfTrue="1">
      <formula>AND($G2&lt;&gt;"",$I2&lt;&gt;"",IFERROR(DATE(VALUE(LEFT(TO_TEXT($G2),4)),VALUE(MID(TO_TEXT($G2),5,2)),VALUE(RIGHT(TO_TEXT($G2),2)))&lt;TODAY(),FALSE),OR($J2="",$K2=""))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88"/>
    <col customWidth="1" min="2" max="2" width="13.25"/>
    <col customWidth="1" min="3" max="4" width="7.75"/>
    <col customWidth="1" min="5" max="5" width="6.75"/>
    <col customWidth="1" min="6" max="6" width="9.0"/>
    <col customWidth="1" min="7" max="8" width="7.13"/>
    <col customWidth="1" min="9" max="9" width="8.38"/>
    <col customWidth="1" min="10" max="11" width="4.13"/>
    <col customWidth="1" min="12" max="12" width="5.63"/>
    <col customWidth="1" min="13" max="13" width="4.38"/>
  </cols>
  <sheetData>
    <row r="1">
      <c r="A1" s="1" t="s">
        <v>0</v>
      </c>
      <c r="B1" s="1"/>
      <c r="C1" s="1"/>
      <c r="D1" s="1"/>
      <c r="E1" s="1"/>
      <c r="F1" s="1"/>
      <c r="G1" s="2"/>
      <c r="H1" s="2"/>
      <c r="I1" s="2"/>
      <c r="J1" s="4"/>
      <c r="K1" s="4"/>
      <c r="L1" s="1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 t="s">
        <v>3</v>
      </c>
      <c r="B2" s="1" t="s">
        <v>2</v>
      </c>
      <c r="C2" s="1" t="s">
        <v>4</v>
      </c>
      <c r="D2" s="1" t="s">
        <v>5</v>
      </c>
      <c r="E2" s="1" t="s">
        <v>7</v>
      </c>
      <c r="F2" s="1" t="s">
        <v>9</v>
      </c>
      <c r="G2" s="2" t="s">
        <v>10</v>
      </c>
      <c r="H2" s="2" t="s">
        <v>12</v>
      </c>
      <c r="I2" s="2" t="s">
        <v>13</v>
      </c>
      <c r="J2" s="4" t="s">
        <v>14</v>
      </c>
      <c r="K2" s="4" t="s">
        <v>16</v>
      </c>
      <c r="L2" s="1" t="s">
        <v>17</v>
      </c>
      <c r="M2" s="2"/>
    </row>
    <row r="3">
      <c r="A3" s="1">
        <v>2.0260804E7</v>
      </c>
      <c r="B3" s="1" t="s">
        <v>18</v>
      </c>
      <c r="C3" s="1"/>
      <c r="D3" s="1">
        <v>25900.0</v>
      </c>
      <c r="E3" s="1" t="s">
        <v>19</v>
      </c>
      <c r="F3" s="1">
        <v>2.0260904E7</v>
      </c>
      <c r="G3" s="2">
        <v>24050.0</v>
      </c>
      <c r="H3" s="2">
        <v>24350.0</v>
      </c>
      <c r="I3" s="2">
        <v>2.0260804E7</v>
      </c>
      <c r="J3" s="4"/>
      <c r="K3" s="4"/>
      <c r="L3" s="1">
        <v>75.0</v>
      </c>
      <c r="M3" s="5"/>
    </row>
    <row r="4">
      <c r="A4" s="1">
        <v>2.0260804E7</v>
      </c>
      <c r="B4" s="1" t="s">
        <v>20</v>
      </c>
      <c r="C4" s="1"/>
      <c r="D4" s="1">
        <v>25000.0</v>
      </c>
      <c r="E4" s="1" t="s">
        <v>22</v>
      </c>
      <c r="F4" s="1">
        <v>2.0261104E7</v>
      </c>
      <c r="G4" s="2"/>
      <c r="H4" s="5"/>
      <c r="I4" s="5"/>
      <c r="J4" s="4"/>
      <c r="K4" s="4"/>
      <c r="L4" s="1">
        <v>80.0</v>
      </c>
      <c r="M4" s="5"/>
    </row>
    <row r="5">
      <c r="A5" s="1">
        <v>2.0260804E7</v>
      </c>
      <c r="B5" s="1" t="s">
        <v>25</v>
      </c>
      <c r="C5" s="1"/>
      <c r="D5" s="1">
        <v>70000.0</v>
      </c>
      <c r="E5" s="1" t="s">
        <v>26</v>
      </c>
      <c r="F5" s="1">
        <v>2.0261002E7</v>
      </c>
      <c r="G5" s="2">
        <v>63200.0</v>
      </c>
      <c r="H5" s="2">
        <v>73600.0</v>
      </c>
      <c r="I5" s="2">
        <v>2.0260805E7</v>
      </c>
      <c r="J5" s="4"/>
      <c r="K5" s="4"/>
      <c r="L5" s="1">
        <v>80.0</v>
      </c>
      <c r="M5" s="5"/>
    </row>
    <row r="6">
      <c r="A6" s="1">
        <v>2.0260804E7</v>
      </c>
      <c r="B6" s="1" t="s">
        <v>27</v>
      </c>
      <c r="C6" s="1"/>
      <c r="D6" s="1">
        <v>102000.0</v>
      </c>
      <c r="E6" s="1" t="s">
        <v>22</v>
      </c>
      <c r="F6" s="1">
        <v>2.0261104E7</v>
      </c>
      <c r="G6" s="2">
        <v>78200.0</v>
      </c>
      <c r="H6" s="2">
        <v>81000.0</v>
      </c>
      <c r="I6" s="2">
        <v>2.0260805E7</v>
      </c>
      <c r="J6" s="4"/>
      <c r="K6" s="4"/>
      <c r="L6" s="1">
        <v>65.0</v>
      </c>
      <c r="M6" s="5"/>
    </row>
    <row r="7">
      <c r="A7" s="1">
        <v>2.0260805E7</v>
      </c>
      <c r="B7" s="1" t="s">
        <v>29</v>
      </c>
      <c r="C7" s="1"/>
      <c r="D7" s="1">
        <v>18000.0</v>
      </c>
      <c r="E7" s="1" t="s">
        <v>30</v>
      </c>
      <c r="F7" s="1">
        <v>2.0260904E7</v>
      </c>
      <c r="G7" s="2">
        <v>17526.0</v>
      </c>
      <c r="H7" s="2">
        <v>18390.0</v>
      </c>
      <c r="I7" s="2">
        <v>2.0260805E7</v>
      </c>
      <c r="J7" s="4"/>
      <c r="K7" s="4"/>
      <c r="L7" s="1">
        <v>90.0</v>
      </c>
      <c r="M7" s="5"/>
    </row>
    <row r="8">
      <c r="A8" s="1">
        <v>2.0260823E7</v>
      </c>
      <c r="B8" s="1" t="s">
        <v>31</v>
      </c>
      <c r="C8" s="1"/>
      <c r="D8" s="1">
        <v>50400.0</v>
      </c>
      <c r="E8" s="1" t="s">
        <v>33</v>
      </c>
      <c r="F8" s="1">
        <v>2.0260911E7</v>
      </c>
      <c r="G8" s="5"/>
      <c r="H8" s="5"/>
      <c r="I8" s="5"/>
      <c r="J8" s="4"/>
      <c r="K8" s="4"/>
      <c r="L8" s="1">
        <v>65.0</v>
      </c>
      <c r="M8" s="5"/>
    </row>
    <row r="9">
      <c r="A9" s="1">
        <v>2.0260823E7</v>
      </c>
      <c r="B9" s="1" t="s">
        <v>34</v>
      </c>
      <c r="C9" s="1"/>
      <c r="D9" s="1">
        <v>74800.0</v>
      </c>
      <c r="E9" s="1" t="s">
        <v>35</v>
      </c>
      <c r="F9" s="1">
        <v>2.0260904E7</v>
      </c>
      <c r="G9" s="2"/>
      <c r="H9" s="5"/>
      <c r="I9" s="5"/>
      <c r="J9" s="4"/>
      <c r="K9" s="4"/>
      <c r="L9" s="1">
        <v>89.0</v>
      </c>
      <c r="M9" s="5"/>
    </row>
    <row r="10">
      <c r="A10" s="1">
        <v>2.0260823E7</v>
      </c>
      <c r="B10" s="1" t="s">
        <v>36</v>
      </c>
      <c r="C10" s="1"/>
      <c r="D10" s="1">
        <v>30500.0</v>
      </c>
      <c r="E10" s="1" t="s">
        <v>37</v>
      </c>
      <c r="F10" s="1">
        <v>2.0260828E7</v>
      </c>
      <c r="G10" s="5"/>
      <c r="H10" s="2"/>
      <c r="I10" s="5"/>
      <c r="J10" s="4"/>
      <c r="K10" s="4"/>
      <c r="L10" s="1">
        <v>75.0</v>
      </c>
      <c r="M10" s="5"/>
    </row>
    <row r="11">
      <c r="A11" s="1">
        <v>2.0260823E7</v>
      </c>
      <c r="B11" s="1" t="s">
        <v>38</v>
      </c>
      <c r="C11" s="1"/>
      <c r="D11" s="1">
        <v>59000.0</v>
      </c>
      <c r="E11" s="1" t="s">
        <v>39</v>
      </c>
      <c r="F11" s="1">
        <v>2.0260918E7</v>
      </c>
      <c r="G11" s="5"/>
      <c r="H11" s="5"/>
      <c r="I11" s="5"/>
      <c r="J11" s="4"/>
      <c r="K11" s="4"/>
      <c r="L11" s="1">
        <v>65.0</v>
      </c>
      <c r="M11" s="5"/>
    </row>
    <row r="12">
      <c r="A12" s="1">
        <v>2.0260823E7</v>
      </c>
      <c r="B12" s="1" t="s">
        <v>40</v>
      </c>
      <c r="C12" s="1"/>
      <c r="D12" s="1">
        <v>20500.0</v>
      </c>
      <c r="E12" s="1" t="s">
        <v>41</v>
      </c>
      <c r="F12" s="1">
        <v>2.0260929E7</v>
      </c>
      <c r="G12" s="5"/>
      <c r="H12" s="5"/>
      <c r="I12" s="5"/>
      <c r="J12" s="4"/>
      <c r="K12" s="4"/>
      <c r="L12" s="1">
        <v>65.0</v>
      </c>
      <c r="M12" s="5"/>
    </row>
    <row r="13">
      <c r="A13" s="1">
        <v>2.0260823E7</v>
      </c>
      <c r="B13" s="1" t="s">
        <v>32</v>
      </c>
      <c r="C13" s="1"/>
      <c r="D13" s="1">
        <v>84000.0</v>
      </c>
      <c r="E13" s="1" t="s">
        <v>37</v>
      </c>
      <c r="F13" s="1">
        <v>2.0260828E7</v>
      </c>
      <c r="G13" s="2">
        <v>74100.0</v>
      </c>
      <c r="H13" s="2">
        <v>75300.0</v>
      </c>
      <c r="I13" s="2">
        <v>2.0260825E7</v>
      </c>
      <c r="J13" s="4"/>
      <c r="K13" s="4"/>
      <c r="L13" s="1">
        <v>65.0</v>
      </c>
      <c r="M13" s="5"/>
    </row>
    <row r="14">
      <c r="A14" s="1">
        <v>2.0260823E7</v>
      </c>
      <c r="B14" s="1" t="s">
        <v>42</v>
      </c>
      <c r="C14" s="1"/>
      <c r="D14" s="1">
        <v>32500.0</v>
      </c>
      <c r="E14" s="1" t="s">
        <v>35</v>
      </c>
      <c r="F14" s="1">
        <v>2.0260904E7</v>
      </c>
      <c r="G14" s="5"/>
      <c r="H14" s="5"/>
      <c r="I14" s="5"/>
      <c r="J14" s="4"/>
      <c r="K14" s="4"/>
      <c r="L14" s="1">
        <v>70.0</v>
      </c>
      <c r="M14" s="5"/>
    </row>
    <row r="15">
      <c r="A15" s="1">
        <v>2.0260823E7</v>
      </c>
      <c r="B15" s="1" t="s">
        <v>43</v>
      </c>
      <c r="C15" s="1"/>
      <c r="D15" s="1">
        <v>15700.0</v>
      </c>
      <c r="E15" s="1" t="s">
        <v>44</v>
      </c>
      <c r="F15" s="1">
        <v>2.0260826E7</v>
      </c>
      <c r="G15" s="5"/>
      <c r="H15" s="5"/>
      <c r="I15" s="5"/>
      <c r="J15" s="4"/>
      <c r="K15" s="4"/>
      <c r="L15" s="1">
        <v>75.0</v>
      </c>
      <c r="M15" s="5"/>
    </row>
    <row r="16">
      <c r="A16" s="1">
        <v>2.0260823E7</v>
      </c>
      <c r="B16" s="1" t="s">
        <v>45</v>
      </c>
      <c r="C16" s="1"/>
      <c r="D16" s="1">
        <v>5346.0</v>
      </c>
      <c r="E16" s="1" t="s">
        <v>44</v>
      </c>
      <c r="F16" s="1">
        <v>2.0260826E7</v>
      </c>
      <c r="G16" s="5"/>
      <c r="H16" s="5"/>
      <c r="I16" s="5"/>
      <c r="J16" s="4"/>
      <c r="K16" s="4"/>
      <c r="L16" s="1">
        <v>60.0</v>
      </c>
      <c r="M16" s="5"/>
    </row>
    <row r="17">
      <c r="A17" s="1">
        <v>2.0260823E7</v>
      </c>
      <c r="B17" s="1" t="s">
        <v>46</v>
      </c>
      <c r="C17" s="1"/>
      <c r="D17" s="1">
        <v>5300.0</v>
      </c>
      <c r="E17" s="1" t="s">
        <v>47</v>
      </c>
      <c r="F17" s="1">
        <v>2.0260928E7</v>
      </c>
      <c r="G17" s="5"/>
      <c r="H17" s="5"/>
      <c r="I17" s="5"/>
      <c r="J17" s="4"/>
      <c r="K17" s="4"/>
      <c r="L17" s="1">
        <v>75.0</v>
      </c>
      <c r="M17" s="5"/>
    </row>
    <row r="18">
      <c r="A18" s="1">
        <v>2.0260823E7</v>
      </c>
      <c r="B18" s="1" t="s">
        <v>48</v>
      </c>
      <c r="C18" s="1"/>
      <c r="D18" s="1">
        <v>67400.0</v>
      </c>
      <c r="E18" s="1" t="s">
        <v>37</v>
      </c>
      <c r="F18" s="1">
        <v>2.0260828E7</v>
      </c>
      <c r="G18" s="2">
        <v>63500.0</v>
      </c>
      <c r="H18" s="2">
        <v>60200.0</v>
      </c>
      <c r="I18" s="2">
        <v>2.0260907E7</v>
      </c>
      <c r="J18" s="4"/>
      <c r="K18" s="4"/>
      <c r="L18" s="1">
        <v>80.0</v>
      </c>
      <c r="M18" s="5"/>
    </row>
    <row r="19">
      <c r="A19" s="1">
        <v>2.0260823E7</v>
      </c>
      <c r="B19" s="1" t="s">
        <v>49</v>
      </c>
      <c r="C19" s="1"/>
      <c r="D19" s="1">
        <v>5300.0</v>
      </c>
      <c r="E19" s="1" t="s">
        <v>41</v>
      </c>
      <c r="F19" s="1">
        <v>2.0260929E7</v>
      </c>
      <c r="G19" s="5"/>
      <c r="H19" s="5"/>
      <c r="I19" s="5"/>
      <c r="J19" s="4"/>
      <c r="K19" s="4"/>
      <c r="L19" s="1">
        <v>75.0</v>
      </c>
      <c r="M19" s="5"/>
    </row>
    <row r="20">
      <c r="A20" s="1">
        <v>2.0260823E7</v>
      </c>
      <c r="B20" s="1" t="s">
        <v>50</v>
      </c>
      <c r="C20" s="1"/>
      <c r="D20" s="1">
        <v>38000.0</v>
      </c>
      <c r="E20" s="1" t="s">
        <v>37</v>
      </c>
      <c r="F20" s="1">
        <v>2.0260828E7</v>
      </c>
      <c r="G20" s="5"/>
      <c r="H20" s="5"/>
      <c r="I20" s="5"/>
      <c r="J20" s="4"/>
      <c r="K20" s="4"/>
      <c r="L20" s="1">
        <v>75.0</v>
      </c>
      <c r="M20" s="5"/>
    </row>
    <row r="21">
      <c r="A21" s="1">
        <v>2.0260825E7</v>
      </c>
      <c r="B21" s="1" t="s">
        <v>51</v>
      </c>
      <c r="C21" s="1"/>
      <c r="D21" s="1">
        <v>47000.0</v>
      </c>
      <c r="E21" s="1" t="s">
        <v>30</v>
      </c>
      <c r="F21" s="1">
        <v>2.0260923E7</v>
      </c>
      <c r="G21" s="2">
        <v>33275.0</v>
      </c>
      <c r="H21" s="2">
        <v>33350.0</v>
      </c>
      <c r="I21" s="2">
        <v>2.0260825E7</v>
      </c>
      <c r="J21" s="4"/>
      <c r="K21" s="4"/>
      <c r="L21" s="1">
        <v>65.0</v>
      </c>
      <c r="M21" s="5"/>
    </row>
    <row r="22">
      <c r="A22" s="1">
        <v>2.0260825E7</v>
      </c>
      <c r="B22" s="1" t="s">
        <v>52</v>
      </c>
      <c r="C22" s="1"/>
      <c r="D22" s="1">
        <v>14100.0</v>
      </c>
      <c r="E22" s="1" t="s">
        <v>30</v>
      </c>
      <c r="F22" s="1">
        <v>2.0260923E7</v>
      </c>
      <c r="G22" s="2">
        <v>12580.0</v>
      </c>
      <c r="H22" s="2">
        <v>13610.0</v>
      </c>
      <c r="I22" s="2">
        <v>2.0260827E7</v>
      </c>
      <c r="J22" s="4"/>
      <c r="K22" s="4"/>
      <c r="L22" s="1">
        <v>78.0</v>
      </c>
      <c r="M22" s="5"/>
    </row>
    <row r="23">
      <c r="A23" s="1">
        <v>2.0260826E7</v>
      </c>
      <c r="B23" s="1" t="s">
        <v>53</v>
      </c>
      <c r="C23" s="1"/>
      <c r="D23" s="1">
        <v>37500.0</v>
      </c>
      <c r="E23" s="1" t="s">
        <v>39</v>
      </c>
      <c r="F23" s="1">
        <v>2.0260923E7</v>
      </c>
      <c r="G23" s="5"/>
      <c r="H23" s="5"/>
      <c r="I23" s="5"/>
      <c r="J23" s="4"/>
      <c r="K23" s="4"/>
      <c r="L23" s="1">
        <v>65.0</v>
      </c>
      <c r="M23" s="5"/>
    </row>
    <row r="24">
      <c r="A24" s="1">
        <v>2.0260826E7</v>
      </c>
      <c r="B24" s="1" t="s">
        <v>25</v>
      </c>
      <c r="C24" s="1"/>
      <c r="D24" s="1">
        <v>80000.0</v>
      </c>
      <c r="E24" s="1" t="s">
        <v>39</v>
      </c>
      <c r="F24" s="1">
        <v>2.0260923E7</v>
      </c>
      <c r="G24" s="2">
        <v>58600.0</v>
      </c>
      <c r="H24" s="2">
        <v>53300.0</v>
      </c>
      <c r="I24" s="2">
        <v>2.0260904E7</v>
      </c>
      <c r="J24" s="4"/>
      <c r="K24" s="4"/>
      <c r="L24" s="1">
        <v>90.0</v>
      </c>
      <c r="M24" s="5"/>
    </row>
    <row r="25">
      <c r="A25" s="1">
        <v>2.0260826E7</v>
      </c>
      <c r="B25" s="1" t="s">
        <v>54</v>
      </c>
      <c r="C25" s="1"/>
      <c r="D25" s="1">
        <v>39000.0</v>
      </c>
      <c r="E25" s="1" t="s">
        <v>39</v>
      </c>
      <c r="F25" s="1">
        <v>2.0260923E7</v>
      </c>
      <c r="G25" s="2">
        <v>33775.0</v>
      </c>
      <c r="H25" s="2">
        <v>33450.0</v>
      </c>
      <c r="I25" s="2">
        <v>2.0260903E7</v>
      </c>
      <c r="J25" s="4"/>
      <c r="K25" s="4"/>
      <c r="L25" s="1">
        <v>85.0</v>
      </c>
      <c r="M25" s="5"/>
    </row>
    <row r="26">
      <c r="A26" s="1">
        <v>2.0260826E7</v>
      </c>
      <c r="B26" s="1" t="s">
        <v>55</v>
      </c>
      <c r="C26" s="1"/>
      <c r="D26" s="1">
        <v>72000.0</v>
      </c>
      <c r="E26" s="1" t="s">
        <v>56</v>
      </c>
      <c r="F26" s="1">
        <v>2.0261006E7</v>
      </c>
      <c r="G26" s="2">
        <v>65100.0</v>
      </c>
      <c r="H26" s="2">
        <v>70000.0</v>
      </c>
      <c r="I26" s="2">
        <v>2.0260827E7</v>
      </c>
      <c r="J26" s="4"/>
      <c r="K26" s="4"/>
      <c r="L26" s="1">
        <v>75.0</v>
      </c>
      <c r="M26" s="5"/>
    </row>
    <row r="27">
      <c r="A27" s="1">
        <v>2.0260828E7</v>
      </c>
      <c r="B27" s="1" t="s">
        <v>57</v>
      </c>
      <c r="C27" s="1"/>
      <c r="D27" s="1">
        <v>8500.0</v>
      </c>
      <c r="E27" s="1" t="s">
        <v>58</v>
      </c>
      <c r="F27" s="1">
        <v>2.0261022E7</v>
      </c>
      <c r="G27" s="2">
        <v>7640.0</v>
      </c>
      <c r="H27" s="2">
        <v>7240.0</v>
      </c>
      <c r="I27" s="2">
        <v>2.0260902E7</v>
      </c>
      <c r="J27" s="4"/>
      <c r="K27" s="4"/>
      <c r="L27" s="1">
        <v>70.0</v>
      </c>
      <c r="M27" s="2"/>
    </row>
    <row r="28">
      <c r="A28" s="1">
        <v>2.0260907E7</v>
      </c>
      <c r="B28" s="1" t="s">
        <v>59</v>
      </c>
      <c r="C28" s="1"/>
      <c r="D28" s="1">
        <v>33200.0</v>
      </c>
      <c r="E28" s="1" t="s">
        <v>39</v>
      </c>
      <c r="F28" s="1">
        <v>2.0261008E7</v>
      </c>
      <c r="G28" s="5"/>
      <c r="H28" s="5"/>
      <c r="I28" s="5"/>
      <c r="J28" s="4"/>
      <c r="K28" s="4"/>
      <c r="L28" s="1">
        <v>65.0</v>
      </c>
      <c r="M28" s="5"/>
    </row>
    <row r="29">
      <c r="A29" s="1">
        <v>2.0260907E7</v>
      </c>
      <c r="B29" s="1" t="s">
        <v>52</v>
      </c>
      <c r="C29" s="1"/>
      <c r="D29" s="1">
        <v>14000.0</v>
      </c>
      <c r="E29" s="1" t="s">
        <v>60</v>
      </c>
      <c r="F29" s="1">
        <v>2.0261023E7</v>
      </c>
      <c r="G29" s="5"/>
      <c r="H29" s="5"/>
      <c r="I29" s="5"/>
      <c r="J29" s="13"/>
      <c r="K29" s="13"/>
      <c r="M29" s="5"/>
    </row>
    <row r="30">
      <c r="A30" s="1">
        <v>2.0260907E7</v>
      </c>
      <c r="B30" s="1" t="s">
        <v>61</v>
      </c>
      <c r="C30" s="1"/>
      <c r="D30" s="1">
        <v>72000.0</v>
      </c>
      <c r="E30" s="1" t="s">
        <v>60</v>
      </c>
      <c r="F30" s="1">
        <v>2.0261023E7</v>
      </c>
      <c r="G30" s="5"/>
      <c r="H30" s="5"/>
      <c r="I30" s="5"/>
      <c r="J30" s="13"/>
      <c r="K30" s="13"/>
      <c r="M30" s="5"/>
    </row>
    <row r="31">
      <c r="A31" s="15">
        <v>2.0260918E7</v>
      </c>
      <c r="B31" s="17" t="s">
        <v>18</v>
      </c>
      <c r="C31" s="18">
        <v>23570.0</v>
      </c>
      <c r="D31" s="10">
        <v>25100.0</v>
      </c>
      <c r="E31" s="1" t="s">
        <v>60</v>
      </c>
      <c r="F31" s="1">
        <v>2.0261105E7</v>
      </c>
      <c r="G31" s="19">
        <v>23570.0</v>
      </c>
      <c r="H31" s="5"/>
      <c r="I31" s="5"/>
      <c r="J31" s="20"/>
      <c r="K31" s="20"/>
      <c r="L31" s="10">
        <v>65.0</v>
      </c>
      <c r="M31" s="5"/>
    </row>
    <row r="32">
      <c r="A32" s="10">
        <v>2.0260918E7</v>
      </c>
      <c r="B32" s="8" t="s">
        <v>63</v>
      </c>
      <c r="C32" s="18">
        <v>12956.0</v>
      </c>
      <c r="D32" s="10">
        <v>13200.0</v>
      </c>
      <c r="E32" s="1" t="s">
        <v>37</v>
      </c>
      <c r="F32" s="1">
        <v>2.0260929E7</v>
      </c>
      <c r="G32" s="21">
        <v>12956.0</v>
      </c>
      <c r="H32" s="2">
        <v>13181.0</v>
      </c>
      <c r="I32" s="2">
        <v>2.0260923E7</v>
      </c>
      <c r="J32" s="20"/>
      <c r="K32" s="20"/>
      <c r="L32" s="10">
        <v>70.0</v>
      </c>
      <c r="M32" s="5"/>
    </row>
    <row r="33">
      <c r="A33" s="10">
        <v>2.0260918E7</v>
      </c>
      <c r="B33" s="8" t="s">
        <v>64</v>
      </c>
      <c r="C33" s="18">
        <v>57410.0</v>
      </c>
      <c r="D33" s="10">
        <v>62000.0</v>
      </c>
      <c r="E33" s="1" t="s">
        <v>65</v>
      </c>
      <c r="F33" s="1">
        <v>2.0261217E7</v>
      </c>
      <c r="G33" s="19">
        <v>57410.0</v>
      </c>
      <c r="H33" s="5"/>
      <c r="I33" s="5"/>
      <c r="J33" s="20"/>
      <c r="K33" s="20"/>
      <c r="L33" s="10">
        <v>80.0</v>
      </c>
      <c r="M33" s="5"/>
    </row>
    <row r="34">
      <c r="A34" s="10">
        <v>2.0260918E7</v>
      </c>
      <c r="B34" s="8" t="s">
        <v>66</v>
      </c>
      <c r="C34" s="18">
        <v>24283.0</v>
      </c>
      <c r="D34" s="18">
        <v>25600.0</v>
      </c>
      <c r="E34" s="1" t="s">
        <v>26</v>
      </c>
      <c r="F34" s="1">
        <v>2.0261119E7</v>
      </c>
      <c r="G34" s="19">
        <v>24283.0</v>
      </c>
      <c r="H34" s="2">
        <v>24200.0</v>
      </c>
      <c r="I34" s="2">
        <v>2.026093E7</v>
      </c>
      <c r="J34" s="20"/>
      <c r="K34" s="20"/>
      <c r="L34" s="10">
        <v>75.0</v>
      </c>
      <c r="M34" s="5"/>
    </row>
    <row r="35">
      <c r="A35" s="10">
        <v>2.0260918E7</v>
      </c>
      <c r="B35" s="8" t="s">
        <v>67</v>
      </c>
      <c r="C35" s="18">
        <v>19350.0</v>
      </c>
      <c r="D35" s="10">
        <v>22500.0</v>
      </c>
      <c r="E35" s="1" t="s">
        <v>58</v>
      </c>
      <c r="F35" s="1">
        <v>2.0261112E7</v>
      </c>
      <c r="G35" s="21">
        <v>19350.0</v>
      </c>
      <c r="H35" s="2">
        <v>19160.0</v>
      </c>
      <c r="I35" s="5"/>
      <c r="J35" s="20"/>
      <c r="K35" s="20"/>
      <c r="L35" s="10">
        <v>80.0</v>
      </c>
      <c r="M35" s="5"/>
    </row>
    <row r="36">
      <c r="A36" s="1">
        <v>2.0261001E7</v>
      </c>
      <c r="B36" s="1" t="s">
        <v>68</v>
      </c>
      <c r="C36" s="1">
        <v>55400.0</v>
      </c>
      <c r="D36" s="1">
        <v>57000.0</v>
      </c>
      <c r="E36" s="1" t="s">
        <v>69</v>
      </c>
      <c r="F36" s="1">
        <v>2.0261005E7</v>
      </c>
      <c r="G36" s="2">
        <v>55400.0</v>
      </c>
      <c r="H36" s="5"/>
      <c r="I36" s="5"/>
      <c r="J36" s="13"/>
      <c r="K36" s="13"/>
      <c r="M36" s="5"/>
    </row>
    <row r="37">
      <c r="A37" s="1">
        <v>2.0261004E7</v>
      </c>
      <c r="B37" s="1" t="s">
        <v>70</v>
      </c>
      <c r="C37" s="1">
        <v>2590.0</v>
      </c>
      <c r="D37" s="1">
        <v>2810.0</v>
      </c>
      <c r="E37" s="1" t="s">
        <v>37</v>
      </c>
      <c r="F37" s="22" t="s">
        <v>71</v>
      </c>
      <c r="G37" s="5"/>
      <c r="H37" s="5"/>
      <c r="I37" s="5"/>
      <c r="J37" s="4">
        <v>5.0</v>
      </c>
      <c r="K37" s="4">
        <v>4.5</v>
      </c>
      <c r="M37" s="23"/>
    </row>
    <row r="38">
      <c r="A38" s="1">
        <v>2.0261004E7</v>
      </c>
      <c r="B38" s="1" t="s">
        <v>73</v>
      </c>
      <c r="C38" s="1">
        <v>7040.0</v>
      </c>
      <c r="D38" s="1">
        <v>7500.0</v>
      </c>
      <c r="E38" s="1" t="s">
        <v>37</v>
      </c>
      <c r="F38" s="22" t="s">
        <v>71</v>
      </c>
      <c r="G38" s="5"/>
      <c r="H38" s="2" t="s">
        <v>74</v>
      </c>
      <c r="I38" s="5"/>
      <c r="J38" s="4">
        <v>2.5</v>
      </c>
      <c r="K38" s="4">
        <v>4.0</v>
      </c>
      <c r="M38" s="23"/>
    </row>
    <row r="39">
      <c r="A39" s="1">
        <v>2.0261004E7</v>
      </c>
      <c r="B39" s="1" t="s">
        <v>75</v>
      </c>
      <c r="C39" s="1">
        <v>23500.0</v>
      </c>
      <c r="D39" s="1">
        <v>25000.0</v>
      </c>
      <c r="E39" s="1" t="s">
        <v>35</v>
      </c>
      <c r="F39" s="22" t="s">
        <v>76</v>
      </c>
      <c r="G39" s="2">
        <v>23450.0</v>
      </c>
      <c r="H39" s="2">
        <v>24200.0</v>
      </c>
      <c r="I39" s="2">
        <v>2.0261007E7</v>
      </c>
      <c r="J39" s="4">
        <v>4.0</v>
      </c>
      <c r="K39" s="4">
        <v>3.5</v>
      </c>
      <c r="M39" s="23"/>
    </row>
    <row r="40">
      <c r="A40" s="1">
        <v>2.0261004E7</v>
      </c>
      <c r="B40" s="1" t="s">
        <v>77</v>
      </c>
      <c r="C40" s="1">
        <v>5910.0</v>
      </c>
      <c r="D40" s="1">
        <v>6250.0</v>
      </c>
      <c r="E40" s="1" t="s">
        <v>78</v>
      </c>
      <c r="F40" s="22" t="s">
        <v>79</v>
      </c>
      <c r="G40" s="5"/>
      <c r="H40" s="5"/>
      <c r="I40" s="5"/>
      <c r="J40" s="4">
        <v>4.5</v>
      </c>
      <c r="K40" s="4">
        <v>4.8</v>
      </c>
      <c r="M40" s="23"/>
    </row>
    <row r="41">
      <c r="A41" s="1">
        <v>2.0261004E7</v>
      </c>
      <c r="B41" s="1" t="s">
        <v>80</v>
      </c>
      <c r="C41" s="1">
        <v>15700.0</v>
      </c>
      <c r="D41" s="1">
        <v>16600.0</v>
      </c>
      <c r="E41" s="1" t="s">
        <v>35</v>
      </c>
      <c r="F41" s="22" t="s">
        <v>76</v>
      </c>
      <c r="G41" s="5"/>
      <c r="H41" s="5"/>
      <c r="I41" s="5"/>
      <c r="J41" s="4">
        <v>3.0</v>
      </c>
      <c r="K41" s="4">
        <v>3.5</v>
      </c>
      <c r="M41" s="23"/>
    </row>
    <row r="42">
      <c r="A42" s="1">
        <v>2.0261004E7</v>
      </c>
      <c r="B42" s="1" t="s">
        <v>81</v>
      </c>
      <c r="C42" s="1">
        <v>37200.0</v>
      </c>
      <c r="D42" s="1">
        <v>39000.0</v>
      </c>
      <c r="E42" s="1" t="s">
        <v>82</v>
      </c>
      <c r="F42" s="22" t="s">
        <v>83</v>
      </c>
      <c r="G42" s="2">
        <v>37200.0</v>
      </c>
      <c r="H42" s="5"/>
      <c r="I42" s="5"/>
      <c r="J42" s="4">
        <v>2.7</v>
      </c>
      <c r="K42" s="4">
        <v>4.5</v>
      </c>
      <c r="M42" s="23"/>
    </row>
    <row r="43">
      <c r="A43" s="1">
        <v>2.0261004E7</v>
      </c>
      <c r="B43" s="1" t="s">
        <v>84</v>
      </c>
      <c r="C43" s="1">
        <v>8220.0</v>
      </c>
      <c r="D43" s="1">
        <v>8400.0</v>
      </c>
      <c r="E43" s="1" t="s">
        <v>85</v>
      </c>
      <c r="F43" s="22" t="s">
        <v>86</v>
      </c>
      <c r="G43" s="5"/>
      <c r="H43" s="5"/>
      <c r="I43" s="5"/>
      <c r="J43" s="4">
        <v>3.0</v>
      </c>
      <c r="K43" s="4">
        <v>4.0</v>
      </c>
      <c r="M43" s="23"/>
    </row>
    <row r="44">
      <c r="A44" s="1">
        <v>2.0261004E7</v>
      </c>
      <c r="B44" s="1" t="s">
        <v>87</v>
      </c>
      <c r="C44" s="1">
        <v>60900.0</v>
      </c>
      <c r="D44" s="1">
        <v>62000.0</v>
      </c>
      <c r="E44" s="1" t="s">
        <v>82</v>
      </c>
      <c r="F44" s="22" t="s">
        <v>83</v>
      </c>
      <c r="G44" s="2">
        <v>60900.0</v>
      </c>
      <c r="H44" s="5"/>
      <c r="I44" s="5"/>
      <c r="J44" s="4">
        <v>3.7</v>
      </c>
      <c r="K44" s="4">
        <v>4.8</v>
      </c>
      <c r="M44" s="23"/>
    </row>
    <row r="45">
      <c r="A45" s="1">
        <v>2.0261004E7</v>
      </c>
      <c r="B45" s="1" t="s">
        <v>88</v>
      </c>
      <c r="C45" s="1">
        <v>30850.0</v>
      </c>
      <c r="D45" s="1">
        <v>32000.0</v>
      </c>
      <c r="E45" s="1" t="s">
        <v>41</v>
      </c>
      <c r="F45" s="22" t="s">
        <v>89</v>
      </c>
      <c r="G45" s="2">
        <v>30850.0</v>
      </c>
      <c r="H45" s="5"/>
      <c r="I45" s="5"/>
      <c r="J45" s="4">
        <v>3.7</v>
      </c>
      <c r="K45" s="4">
        <v>2.5</v>
      </c>
      <c r="M45" s="5"/>
    </row>
    <row r="46">
      <c r="A46" s="1">
        <v>2.0261004E7</v>
      </c>
      <c r="B46" s="1" t="s">
        <v>90</v>
      </c>
      <c r="C46" s="1">
        <v>35100.0</v>
      </c>
      <c r="D46" s="1">
        <v>37000.0</v>
      </c>
      <c r="E46" s="1" t="s">
        <v>85</v>
      </c>
      <c r="F46" s="22" t="s">
        <v>86</v>
      </c>
      <c r="G46" s="2">
        <v>35100.0</v>
      </c>
      <c r="H46" s="5"/>
      <c r="I46" s="5"/>
      <c r="J46" s="4">
        <v>4.9</v>
      </c>
      <c r="K46" s="4">
        <v>3.5</v>
      </c>
      <c r="M46" s="5"/>
    </row>
    <row r="47">
      <c r="A47" s="1">
        <v>2.0261004E7</v>
      </c>
      <c r="B47" s="1" t="s">
        <v>92</v>
      </c>
      <c r="C47" s="1">
        <v>10490.0</v>
      </c>
      <c r="D47" s="1">
        <v>11600.0</v>
      </c>
      <c r="E47" s="1" t="s">
        <v>93</v>
      </c>
      <c r="F47" s="22" t="s">
        <v>94</v>
      </c>
      <c r="G47" s="2">
        <v>10490.0</v>
      </c>
      <c r="H47" s="2">
        <v>10810.0</v>
      </c>
      <c r="I47" s="2">
        <v>2.0261007E7</v>
      </c>
      <c r="J47" s="4">
        <v>4.6</v>
      </c>
      <c r="K47" s="4">
        <v>4.5</v>
      </c>
      <c r="M47" s="5"/>
    </row>
    <row r="48">
      <c r="A48" s="1">
        <v>2.0261006E7</v>
      </c>
      <c r="B48" s="1" t="s">
        <v>95</v>
      </c>
      <c r="C48" s="1">
        <v>40550.0</v>
      </c>
      <c r="D48" s="1">
        <v>45900.0</v>
      </c>
      <c r="E48" s="1" t="s">
        <v>65</v>
      </c>
      <c r="F48" s="22" t="s">
        <v>96</v>
      </c>
      <c r="G48" s="2">
        <v>40550.0</v>
      </c>
      <c r="H48" s="5"/>
      <c r="I48" s="5"/>
      <c r="J48" s="4">
        <v>5.0</v>
      </c>
      <c r="K48" s="4">
        <v>4.0</v>
      </c>
      <c r="M48" s="5"/>
    </row>
    <row r="49">
      <c r="A49" s="1">
        <v>2.0261006E7</v>
      </c>
      <c r="B49" s="1" t="s">
        <v>66</v>
      </c>
      <c r="C49" s="1">
        <v>23100.0</v>
      </c>
      <c r="D49" s="1">
        <v>25600.0</v>
      </c>
      <c r="E49" s="1" t="s">
        <v>97</v>
      </c>
      <c r="F49" s="22" t="s">
        <v>98</v>
      </c>
      <c r="G49" s="2">
        <v>23100.0</v>
      </c>
      <c r="H49" s="2">
        <v>23350.0</v>
      </c>
      <c r="I49" s="2">
        <v>2.0261006E7</v>
      </c>
      <c r="J49" s="13"/>
      <c r="K49" s="13"/>
      <c r="M49" s="5"/>
    </row>
    <row r="50">
      <c r="A50" s="1">
        <v>2.0261007E7</v>
      </c>
      <c r="B50" s="1" t="s">
        <v>99</v>
      </c>
      <c r="C50" s="1">
        <v>4060.0</v>
      </c>
      <c r="D50" s="1">
        <v>4220.0</v>
      </c>
      <c r="E50" s="1" t="s">
        <v>100</v>
      </c>
      <c r="F50" s="24">
        <v>2.0261117E7</v>
      </c>
      <c r="G50" s="2">
        <v>4060.0</v>
      </c>
      <c r="H50" s="5"/>
      <c r="I50" s="5"/>
      <c r="J50" s="13"/>
      <c r="K50" s="13"/>
      <c r="M50" s="5"/>
    </row>
    <row r="51">
      <c r="A51" s="1">
        <v>2.0261007E7</v>
      </c>
      <c r="B51" s="1" t="s">
        <v>101</v>
      </c>
      <c r="C51" s="1">
        <v>11725.0</v>
      </c>
      <c r="D51" s="1">
        <v>13000.0</v>
      </c>
      <c r="E51" s="1" t="s">
        <v>103</v>
      </c>
      <c r="F51" s="24">
        <v>2.0261116E7</v>
      </c>
      <c r="G51" s="2">
        <v>11725.0</v>
      </c>
      <c r="H51" s="5"/>
      <c r="I51" s="5"/>
      <c r="J51" s="13"/>
      <c r="K51" s="13"/>
      <c r="M51" s="5"/>
    </row>
    <row r="52">
      <c r="A52" s="1">
        <v>2.0261007E7</v>
      </c>
      <c r="B52" s="1" t="s">
        <v>104</v>
      </c>
      <c r="C52" s="1">
        <v>4345.0</v>
      </c>
      <c r="D52" s="1">
        <v>4550.0</v>
      </c>
      <c r="E52" s="1" t="s">
        <v>105</v>
      </c>
      <c r="F52" s="24">
        <v>2.0261124E7</v>
      </c>
      <c r="G52" s="2">
        <v>4345.0</v>
      </c>
      <c r="H52" s="5"/>
      <c r="I52" s="5"/>
      <c r="J52" s="13"/>
      <c r="K52" s="13"/>
      <c r="M52" s="5"/>
    </row>
    <row r="53">
      <c r="A53" s="1">
        <v>2.0261007E7</v>
      </c>
      <c r="B53" s="1" t="s">
        <v>106</v>
      </c>
      <c r="C53" s="1">
        <v>25375.0</v>
      </c>
      <c r="D53" s="1">
        <v>26200.0</v>
      </c>
      <c r="E53" s="1" t="s">
        <v>107</v>
      </c>
      <c r="F53" s="24">
        <v>2.0261023E7</v>
      </c>
      <c r="G53" s="2">
        <v>25375.0</v>
      </c>
      <c r="H53" s="5"/>
      <c r="I53" s="5"/>
      <c r="J53" s="13"/>
      <c r="K53" s="13"/>
      <c r="M53" s="5"/>
    </row>
    <row r="54">
      <c r="A54" s="1">
        <v>2.0261007E7</v>
      </c>
      <c r="B54" s="1" t="s">
        <v>108</v>
      </c>
      <c r="C54" s="1">
        <v>14370.0</v>
      </c>
      <c r="D54" s="1">
        <v>15000.0</v>
      </c>
      <c r="E54" s="1" t="s">
        <v>110</v>
      </c>
      <c r="F54" s="24">
        <v>2.0261026E7</v>
      </c>
      <c r="G54" s="2">
        <v>14370.0</v>
      </c>
      <c r="H54" s="5"/>
      <c r="I54" s="5"/>
      <c r="J54" s="13"/>
      <c r="K54" s="13"/>
      <c r="M54" s="5"/>
    </row>
    <row r="55">
      <c r="A55" s="1">
        <v>2.0261007E7</v>
      </c>
      <c r="B55" s="1" t="s">
        <v>111</v>
      </c>
      <c r="C55" s="1">
        <v>29367.0</v>
      </c>
      <c r="D55" s="1">
        <v>32800.0</v>
      </c>
      <c r="E55" s="1" t="s">
        <v>112</v>
      </c>
      <c r="F55" s="24">
        <v>2.0261118E7</v>
      </c>
      <c r="G55" s="2">
        <v>29367.0</v>
      </c>
      <c r="H55" s="5"/>
      <c r="I55" s="5"/>
      <c r="J55" s="13"/>
      <c r="K55" s="13"/>
      <c r="M55" s="5"/>
    </row>
    <row r="56">
      <c r="A56" s="1">
        <v>2.0261007E7</v>
      </c>
      <c r="B56" s="1" t="s">
        <v>113</v>
      </c>
      <c r="C56" s="1">
        <v>37800.0</v>
      </c>
      <c r="D56" s="1">
        <v>40790.0</v>
      </c>
      <c r="E56" s="1" t="s">
        <v>114</v>
      </c>
      <c r="F56" s="24">
        <v>2.0261104E7</v>
      </c>
      <c r="G56" s="2">
        <v>37800.0</v>
      </c>
      <c r="H56" s="5"/>
      <c r="I56" s="5"/>
      <c r="J56" s="13"/>
      <c r="K56" s="13"/>
      <c r="M56" s="5"/>
    </row>
    <row r="57">
      <c r="A57" s="1">
        <v>2.0261007E7</v>
      </c>
      <c r="B57" s="1" t="s">
        <v>115</v>
      </c>
      <c r="C57" s="1">
        <v>13760.0</v>
      </c>
      <c r="D57" s="1">
        <v>14600.0</v>
      </c>
      <c r="E57" s="1" t="s">
        <v>39</v>
      </c>
      <c r="F57" s="24">
        <v>2.0261105E7</v>
      </c>
      <c r="G57" s="2">
        <v>13760.0</v>
      </c>
      <c r="H57" s="5"/>
      <c r="I57" s="5"/>
      <c r="J57" s="13"/>
      <c r="K57" s="13"/>
      <c r="M57" s="5"/>
    </row>
    <row r="58">
      <c r="G58" s="5"/>
      <c r="H58" s="5"/>
      <c r="I58" s="5"/>
      <c r="J58" s="13"/>
      <c r="K58" s="13"/>
      <c r="M58" s="5"/>
    </row>
    <row r="59">
      <c r="G59" s="5"/>
      <c r="H59" s="5"/>
      <c r="I59" s="5"/>
      <c r="J59" s="13"/>
      <c r="K59" s="13"/>
      <c r="M59" s="5"/>
    </row>
    <row r="60">
      <c r="G60" s="5"/>
      <c r="H60" s="5"/>
      <c r="I60" s="5"/>
      <c r="J60" s="13"/>
      <c r="K60" s="13"/>
      <c r="M60" s="5"/>
    </row>
    <row r="61">
      <c r="G61" s="5"/>
      <c r="H61" s="5"/>
      <c r="I61" s="5"/>
      <c r="J61" s="13"/>
      <c r="K61" s="13"/>
      <c r="M61" s="5"/>
    </row>
    <row r="62">
      <c r="G62" s="5"/>
      <c r="H62" s="5"/>
      <c r="I62" s="5"/>
      <c r="J62" s="13"/>
      <c r="K62" s="13"/>
      <c r="M62" s="5"/>
    </row>
    <row r="63">
      <c r="G63" s="5"/>
      <c r="H63" s="5"/>
      <c r="I63" s="5"/>
      <c r="J63" s="13"/>
      <c r="K63" s="13"/>
      <c r="M63" s="5"/>
    </row>
    <row r="64">
      <c r="G64" s="5"/>
      <c r="H64" s="5"/>
      <c r="I64" s="5"/>
      <c r="J64" s="13"/>
      <c r="K64" s="13"/>
      <c r="M64" s="5"/>
    </row>
    <row r="65">
      <c r="G65" s="5"/>
      <c r="H65" s="5"/>
      <c r="I65" s="5"/>
      <c r="J65" s="13"/>
      <c r="K65" s="13"/>
      <c r="M65" s="5"/>
    </row>
    <row r="66">
      <c r="G66" s="5"/>
      <c r="H66" s="5"/>
      <c r="I66" s="5"/>
      <c r="J66" s="13"/>
      <c r="K66" s="13"/>
      <c r="M66" s="5"/>
    </row>
    <row r="67">
      <c r="G67" s="5"/>
      <c r="H67" s="5"/>
      <c r="I67" s="5"/>
      <c r="J67" s="13"/>
      <c r="K67" s="13"/>
      <c r="M67" s="5"/>
    </row>
    <row r="68">
      <c r="G68" s="5"/>
      <c r="H68" s="5"/>
      <c r="I68" s="5"/>
      <c r="J68" s="13"/>
      <c r="K68" s="13"/>
      <c r="M68" s="5"/>
    </row>
    <row r="69">
      <c r="G69" s="5"/>
      <c r="H69" s="5"/>
      <c r="I69" s="5"/>
      <c r="J69" s="13"/>
      <c r="K69" s="13"/>
      <c r="M69" s="5"/>
    </row>
    <row r="70">
      <c r="G70" s="5"/>
      <c r="H70" s="5"/>
      <c r="I70" s="5"/>
      <c r="J70" s="13"/>
      <c r="K70" s="13"/>
      <c r="M70" s="5"/>
    </row>
    <row r="71">
      <c r="G71" s="5"/>
      <c r="H71" s="5"/>
      <c r="I71" s="5"/>
      <c r="J71" s="13"/>
      <c r="K71" s="13"/>
      <c r="M71" s="5"/>
    </row>
    <row r="72">
      <c r="G72" s="5"/>
      <c r="H72" s="5"/>
      <c r="I72" s="5"/>
      <c r="J72" s="13"/>
      <c r="K72" s="13"/>
      <c r="M72" s="5"/>
    </row>
    <row r="73">
      <c r="G73" s="5"/>
      <c r="H73" s="5"/>
      <c r="I73" s="5"/>
      <c r="J73" s="13"/>
      <c r="K73" s="13"/>
      <c r="M73" s="5"/>
    </row>
    <row r="74">
      <c r="G74" s="5"/>
      <c r="H74" s="5"/>
      <c r="I74" s="5"/>
      <c r="J74" s="13"/>
      <c r="K74" s="13"/>
      <c r="M74" s="5"/>
    </row>
    <row r="75">
      <c r="G75" s="5"/>
      <c r="H75" s="5"/>
      <c r="I75" s="5"/>
      <c r="J75" s="13"/>
      <c r="K75" s="13"/>
      <c r="M75" s="5"/>
    </row>
    <row r="76">
      <c r="G76" s="5"/>
      <c r="H76" s="5"/>
      <c r="I76" s="5"/>
      <c r="J76" s="13"/>
      <c r="K76" s="13"/>
      <c r="M76" s="5"/>
    </row>
    <row r="77">
      <c r="G77" s="5"/>
      <c r="H77" s="5"/>
      <c r="I77" s="5"/>
      <c r="J77" s="13"/>
      <c r="K77" s="13"/>
      <c r="M77" s="5"/>
    </row>
    <row r="78">
      <c r="G78" s="5"/>
      <c r="H78" s="5"/>
      <c r="I78" s="5"/>
      <c r="J78" s="13"/>
      <c r="K78" s="13"/>
      <c r="M78" s="5"/>
    </row>
    <row r="79">
      <c r="G79" s="5"/>
      <c r="H79" s="5"/>
      <c r="I79" s="5"/>
      <c r="J79" s="13"/>
      <c r="K79" s="13"/>
      <c r="M79" s="5"/>
    </row>
    <row r="80">
      <c r="G80" s="5"/>
      <c r="H80" s="5"/>
      <c r="I80" s="5"/>
      <c r="J80" s="13"/>
      <c r="K80" s="13"/>
      <c r="M80" s="5"/>
    </row>
    <row r="81">
      <c r="G81" s="5"/>
      <c r="H81" s="5"/>
      <c r="I81" s="5"/>
      <c r="J81" s="13"/>
      <c r="K81" s="13"/>
      <c r="M81" s="5"/>
    </row>
    <row r="82">
      <c r="G82" s="5"/>
      <c r="H82" s="5"/>
      <c r="I82" s="5"/>
      <c r="J82" s="13"/>
      <c r="K82" s="13"/>
      <c r="M82" s="5"/>
    </row>
    <row r="83">
      <c r="G83" s="5"/>
      <c r="H83" s="5"/>
      <c r="I83" s="5"/>
      <c r="J83" s="13"/>
      <c r="K83" s="13"/>
      <c r="M83" s="5"/>
    </row>
    <row r="84">
      <c r="G84" s="5"/>
      <c r="H84" s="5"/>
      <c r="I84" s="5"/>
      <c r="J84" s="13"/>
      <c r="K84" s="13"/>
      <c r="M84" s="5"/>
    </row>
    <row r="85">
      <c r="G85" s="5"/>
      <c r="H85" s="5"/>
      <c r="I85" s="5"/>
      <c r="J85" s="13"/>
      <c r="K85" s="13"/>
      <c r="M85" s="5"/>
    </row>
    <row r="86">
      <c r="G86" s="5"/>
      <c r="H86" s="5"/>
      <c r="I86" s="5"/>
      <c r="J86" s="13"/>
      <c r="K86" s="13"/>
      <c r="M86" s="5"/>
    </row>
    <row r="87">
      <c r="G87" s="5"/>
      <c r="H87" s="5"/>
      <c r="I87" s="5"/>
      <c r="J87" s="13"/>
      <c r="K87" s="13"/>
      <c r="M87" s="5"/>
    </row>
    <row r="88">
      <c r="G88" s="5"/>
      <c r="H88" s="5"/>
      <c r="I88" s="5"/>
      <c r="J88" s="13"/>
      <c r="K88" s="13"/>
      <c r="M88" s="5"/>
    </row>
    <row r="89">
      <c r="G89" s="5"/>
      <c r="H89" s="5"/>
      <c r="I89" s="5"/>
      <c r="J89" s="13"/>
      <c r="K89" s="13"/>
      <c r="M89" s="5"/>
    </row>
    <row r="90">
      <c r="G90" s="5"/>
      <c r="H90" s="5"/>
      <c r="I90" s="5"/>
      <c r="J90" s="13"/>
      <c r="K90" s="13"/>
      <c r="M90" s="5"/>
    </row>
    <row r="91">
      <c r="G91" s="5"/>
      <c r="H91" s="5"/>
      <c r="I91" s="5"/>
      <c r="J91" s="13"/>
      <c r="K91" s="13"/>
      <c r="M91" s="5"/>
    </row>
    <row r="92">
      <c r="G92" s="5"/>
      <c r="H92" s="5"/>
      <c r="I92" s="5"/>
      <c r="J92" s="13"/>
      <c r="K92" s="13"/>
      <c r="M92" s="5"/>
    </row>
    <row r="93">
      <c r="G93" s="5"/>
      <c r="H93" s="5"/>
      <c r="I93" s="5"/>
      <c r="J93" s="13"/>
      <c r="K93" s="13"/>
      <c r="M93" s="5"/>
    </row>
    <row r="94">
      <c r="G94" s="5"/>
      <c r="H94" s="5"/>
      <c r="I94" s="5"/>
      <c r="J94" s="13"/>
      <c r="K94" s="13"/>
      <c r="M94" s="5"/>
    </row>
    <row r="95">
      <c r="G95" s="5"/>
      <c r="H95" s="5"/>
      <c r="I95" s="5"/>
      <c r="J95" s="13"/>
      <c r="K95" s="13"/>
      <c r="M95" s="5"/>
    </row>
    <row r="96">
      <c r="G96" s="5"/>
      <c r="H96" s="5"/>
      <c r="I96" s="5"/>
      <c r="J96" s="13"/>
      <c r="K96" s="13"/>
      <c r="M96" s="5"/>
    </row>
    <row r="97">
      <c r="G97" s="5"/>
      <c r="H97" s="5"/>
      <c r="I97" s="5"/>
      <c r="J97" s="13"/>
      <c r="K97" s="13"/>
      <c r="M97" s="5"/>
    </row>
    <row r="98">
      <c r="G98" s="5"/>
      <c r="H98" s="5"/>
      <c r="I98" s="5"/>
      <c r="J98" s="13"/>
      <c r="K98" s="13"/>
      <c r="M98" s="5"/>
    </row>
    <row r="99">
      <c r="G99" s="5"/>
      <c r="H99" s="5"/>
      <c r="I99" s="5"/>
      <c r="J99" s="13"/>
      <c r="K99" s="13"/>
      <c r="M99" s="5"/>
    </row>
    <row r="100">
      <c r="G100" s="5"/>
      <c r="H100" s="5"/>
      <c r="I100" s="5"/>
      <c r="J100" s="13"/>
      <c r="K100" s="13"/>
      <c r="M100" s="5"/>
    </row>
    <row r="101">
      <c r="G101" s="5"/>
      <c r="H101" s="5"/>
      <c r="I101" s="5"/>
      <c r="J101" s="13"/>
      <c r="K101" s="13"/>
      <c r="M101" s="5"/>
    </row>
    <row r="102">
      <c r="G102" s="5"/>
      <c r="H102" s="5"/>
      <c r="I102" s="5"/>
      <c r="J102" s="13"/>
      <c r="K102" s="13"/>
      <c r="M102" s="5"/>
      <c r="N102" s="1" t="s">
        <v>120</v>
      </c>
    </row>
    <row r="103">
      <c r="G103" s="5"/>
      <c r="H103" s="5"/>
      <c r="I103" s="5"/>
      <c r="J103" s="13"/>
      <c r="K103" s="13"/>
      <c r="M103" s="5"/>
    </row>
    <row r="104">
      <c r="G104" s="5"/>
      <c r="H104" s="5"/>
      <c r="I104" s="5"/>
      <c r="J104" s="13"/>
      <c r="K104" s="13"/>
      <c r="M104" s="5"/>
    </row>
    <row r="105">
      <c r="G105" s="5"/>
      <c r="H105" s="5"/>
      <c r="I105" s="5"/>
      <c r="J105" s="13"/>
      <c r="K105" s="13"/>
      <c r="M105" s="5"/>
    </row>
    <row r="106">
      <c r="G106" s="5"/>
      <c r="H106" s="5"/>
      <c r="I106" s="5"/>
      <c r="J106" s="13"/>
      <c r="K106" s="13"/>
      <c r="M106" s="5"/>
    </row>
    <row r="107">
      <c r="G107" s="5"/>
      <c r="H107" s="5"/>
      <c r="I107" s="5"/>
      <c r="J107" s="13"/>
      <c r="K107" s="13"/>
      <c r="M107" s="5"/>
    </row>
    <row r="108">
      <c r="G108" s="5"/>
      <c r="H108" s="5"/>
      <c r="I108" s="5"/>
      <c r="J108" s="13"/>
      <c r="K108" s="13"/>
      <c r="M108" s="5"/>
    </row>
    <row r="109">
      <c r="G109" s="5"/>
      <c r="H109" s="5"/>
      <c r="I109" s="5"/>
      <c r="J109" s="13"/>
      <c r="K109" s="13"/>
      <c r="M109" s="5"/>
    </row>
    <row r="110">
      <c r="G110" s="5"/>
      <c r="H110" s="5"/>
      <c r="I110" s="5"/>
      <c r="J110" s="13"/>
      <c r="K110" s="13"/>
      <c r="M110" s="5"/>
    </row>
    <row r="111">
      <c r="G111" s="5"/>
      <c r="H111" s="5"/>
      <c r="I111" s="5"/>
      <c r="J111" s="13"/>
      <c r="K111" s="13"/>
      <c r="M111" s="5"/>
    </row>
    <row r="112">
      <c r="G112" s="5"/>
      <c r="H112" s="5"/>
      <c r="I112" s="5"/>
      <c r="J112" s="13"/>
      <c r="K112" s="13"/>
      <c r="M112" s="5"/>
    </row>
    <row r="113">
      <c r="G113" s="5"/>
      <c r="H113" s="5"/>
      <c r="I113" s="5"/>
      <c r="J113" s="13"/>
      <c r="K113" s="13"/>
      <c r="M113" s="5"/>
    </row>
    <row r="114">
      <c r="G114" s="5"/>
      <c r="H114" s="5"/>
      <c r="I114" s="5"/>
      <c r="J114" s="13"/>
      <c r="K114" s="13"/>
      <c r="M114" s="5"/>
    </row>
    <row r="115">
      <c r="G115" s="5"/>
      <c r="H115" s="5"/>
      <c r="I115" s="5"/>
      <c r="J115" s="13"/>
      <c r="K115" s="13"/>
      <c r="M115" s="5"/>
    </row>
    <row r="116">
      <c r="G116" s="5"/>
      <c r="H116" s="5"/>
      <c r="I116" s="5"/>
      <c r="J116" s="13"/>
      <c r="K116" s="13"/>
      <c r="M116" s="5"/>
    </row>
    <row r="117">
      <c r="G117" s="5"/>
      <c r="H117" s="5"/>
      <c r="I117" s="5"/>
      <c r="J117" s="13"/>
      <c r="K117" s="13"/>
      <c r="M117" s="5"/>
    </row>
    <row r="118">
      <c r="G118" s="5"/>
      <c r="H118" s="5"/>
      <c r="I118" s="5"/>
      <c r="J118" s="13"/>
      <c r="K118" s="13"/>
      <c r="M118" s="5"/>
    </row>
    <row r="119">
      <c r="G119" s="5"/>
      <c r="H119" s="5"/>
      <c r="I119" s="5"/>
      <c r="J119" s="13"/>
      <c r="K119" s="13"/>
      <c r="M119" s="5"/>
    </row>
    <row r="120">
      <c r="G120" s="5"/>
      <c r="H120" s="5"/>
      <c r="I120" s="5"/>
      <c r="J120" s="13"/>
      <c r="K120" s="13"/>
      <c r="M120" s="5"/>
    </row>
    <row r="121">
      <c r="G121" s="5"/>
      <c r="H121" s="5"/>
      <c r="I121" s="5"/>
      <c r="J121" s="13"/>
      <c r="K121" s="13"/>
      <c r="M121" s="5"/>
    </row>
    <row r="122">
      <c r="G122" s="5"/>
      <c r="H122" s="5"/>
      <c r="I122" s="5"/>
      <c r="J122" s="13"/>
      <c r="K122" s="13"/>
      <c r="M122" s="5"/>
    </row>
    <row r="123">
      <c r="G123" s="5"/>
      <c r="H123" s="5"/>
      <c r="I123" s="5"/>
      <c r="J123" s="13"/>
      <c r="K123" s="13"/>
      <c r="M123" s="5"/>
    </row>
    <row r="124">
      <c r="G124" s="5"/>
      <c r="H124" s="5"/>
      <c r="I124" s="5"/>
      <c r="J124" s="13"/>
      <c r="K124" s="13"/>
      <c r="M124" s="5"/>
    </row>
    <row r="125">
      <c r="G125" s="5"/>
      <c r="H125" s="5"/>
      <c r="I125" s="5"/>
      <c r="J125" s="13"/>
      <c r="K125" s="13"/>
      <c r="M125" s="5"/>
    </row>
    <row r="126">
      <c r="G126" s="5"/>
      <c r="H126" s="5"/>
      <c r="I126" s="5"/>
      <c r="J126" s="13"/>
      <c r="K126" s="13"/>
      <c r="M126" s="5"/>
    </row>
    <row r="127">
      <c r="G127" s="5"/>
      <c r="H127" s="5"/>
      <c r="I127" s="5"/>
      <c r="J127" s="13"/>
      <c r="K127" s="13"/>
      <c r="M127" s="5"/>
    </row>
    <row r="128">
      <c r="G128" s="5"/>
      <c r="H128" s="5"/>
      <c r="I128" s="5"/>
      <c r="J128" s="13"/>
      <c r="K128" s="13"/>
      <c r="M128" s="5"/>
    </row>
    <row r="129">
      <c r="G129" s="5"/>
      <c r="H129" s="5"/>
      <c r="I129" s="5"/>
      <c r="J129" s="13"/>
      <c r="K129" s="13"/>
      <c r="M129" s="5"/>
    </row>
    <row r="130">
      <c r="G130" s="5"/>
      <c r="H130" s="5"/>
      <c r="I130" s="5"/>
      <c r="J130" s="13"/>
      <c r="K130" s="13"/>
      <c r="M130" s="5"/>
    </row>
    <row r="131">
      <c r="G131" s="5"/>
      <c r="H131" s="5"/>
      <c r="I131" s="5"/>
      <c r="J131" s="13"/>
      <c r="K131" s="13"/>
      <c r="M131" s="5"/>
    </row>
    <row r="132">
      <c r="G132" s="5"/>
      <c r="H132" s="5"/>
      <c r="I132" s="5"/>
      <c r="J132" s="13"/>
      <c r="K132" s="13"/>
      <c r="M132" s="5"/>
    </row>
    <row r="133">
      <c r="G133" s="5"/>
      <c r="H133" s="5"/>
      <c r="I133" s="5"/>
      <c r="J133" s="13"/>
      <c r="K133" s="13"/>
      <c r="M133" s="5"/>
    </row>
    <row r="134">
      <c r="G134" s="5"/>
      <c r="H134" s="5"/>
      <c r="I134" s="5"/>
      <c r="J134" s="13"/>
      <c r="K134" s="13"/>
      <c r="M134" s="5"/>
    </row>
    <row r="135">
      <c r="G135" s="5"/>
      <c r="H135" s="5"/>
      <c r="I135" s="5"/>
      <c r="J135" s="13"/>
      <c r="K135" s="13"/>
      <c r="M135" s="5"/>
    </row>
    <row r="136">
      <c r="G136" s="5"/>
      <c r="H136" s="5"/>
      <c r="I136" s="5"/>
      <c r="J136" s="13"/>
      <c r="K136" s="13"/>
      <c r="M136" s="5"/>
    </row>
    <row r="137">
      <c r="G137" s="5"/>
      <c r="H137" s="5"/>
      <c r="I137" s="5"/>
      <c r="J137" s="13"/>
      <c r="K137" s="13"/>
      <c r="M137" s="5"/>
    </row>
    <row r="138">
      <c r="G138" s="5"/>
      <c r="H138" s="5"/>
      <c r="I138" s="5"/>
      <c r="J138" s="13"/>
      <c r="K138" s="13"/>
      <c r="M138" s="5"/>
    </row>
    <row r="139">
      <c r="G139" s="5"/>
      <c r="H139" s="5"/>
      <c r="I139" s="5"/>
      <c r="J139" s="13"/>
      <c r="K139" s="13"/>
      <c r="M139" s="5"/>
    </row>
    <row r="140">
      <c r="G140" s="5"/>
      <c r="H140" s="5"/>
      <c r="I140" s="5"/>
      <c r="J140" s="13"/>
      <c r="K140" s="13"/>
      <c r="M140" s="5"/>
    </row>
    <row r="141">
      <c r="G141" s="5"/>
      <c r="H141" s="5"/>
      <c r="I141" s="5"/>
      <c r="J141" s="13"/>
      <c r="K141" s="13"/>
      <c r="M141" s="5"/>
    </row>
    <row r="142">
      <c r="G142" s="5"/>
      <c r="H142" s="5"/>
      <c r="I142" s="5"/>
      <c r="J142" s="13"/>
      <c r="K142" s="13"/>
      <c r="M142" s="5"/>
    </row>
    <row r="143">
      <c r="G143" s="5"/>
      <c r="H143" s="5"/>
      <c r="I143" s="5"/>
      <c r="J143" s="13"/>
      <c r="K143" s="13"/>
      <c r="M143" s="5"/>
    </row>
    <row r="144">
      <c r="G144" s="5"/>
      <c r="H144" s="5"/>
      <c r="I144" s="5"/>
      <c r="J144" s="13"/>
      <c r="K144" s="13"/>
      <c r="M144" s="5"/>
    </row>
    <row r="145">
      <c r="G145" s="5"/>
      <c r="H145" s="5"/>
      <c r="I145" s="5"/>
      <c r="J145" s="13"/>
      <c r="K145" s="13"/>
      <c r="M145" s="5"/>
    </row>
    <row r="146">
      <c r="G146" s="5"/>
      <c r="H146" s="5"/>
      <c r="I146" s="5"/>
      <c r="J146" s="13"/>
      <c r="K146" s="13"/>
      <c r="M146" s="5"/>
    </row>
    <row r="147">
      <c r="G147" s="5"/>
      <c r="H147" s="5"/>
      <c r="I147" s="5"/>
      <c r="J147" s="13"/>
      <c r="K147" s="13"/>
      <c r="M147" s="5"/>
    </row>
    <row r="148">
      <c r="G148" s="5"/>
      <c r="H148" s="5"/>
      <c r="I148" s="5"/>
      <c r="J148" s="13"/>
      <c r="K148" s="13"/>
      <c r="M148" s="5"/>
    </row>
    <row r="149">
      <c r="G149" s="5"/>
      <c r="H149" s="5"/>
      <c r="I149" s="5"/>
      <c r="J149" s="13"/>
      <c r="K149" s="13"/>
      <c r="M149" s="5"/>
    </row>
    <row r="150">
      <c r="G150" s="5"/>
      <c r="H150" s="5"/>
      <c r="I150" s="5"/>
      <c r="J150" s="13"/>
      <c r="K150" s="13"/>
      <c r="M150" s="5"/>
    </row>
    <row r="151">
      <c r="G151" s="5"/>
      <c r="H151" s="5"/>
      <c r="I151" s="5"/>
      <c r="J151" s="13"/>
      <c r="K151" s="13"/>
      <c r="M151" s="5"/>
    </row>
    <row r="152">
      <c r="G152" s="5"/>
      <c r="H152" s="5"/>
      <c r="I152" s="5"/>
      <c r="J152" s="13"/>
      <c r="K152" s="13"/>
      <c r="M152" s="5"/>
    </row>
    <row r="153">
      <c r="G153" s="5"/>
      <c r="H153" s="5"/>
      <c r="I153" s="5"/>
      <c r="J153" s="13"/>
      <c r="K153" s="13"/>
      <c r="M153" s="5"/>
    </row>
    <row r="154">
      <c r="G154" s="5"/>
      <c r="H154" s="5"/>
      <c r="I154" s="5"/>
      <c r="J154" s="13"/>
      <c r="K154" s="13"/>
      <c r="M154" s="5"/>
    </row>
    <row r="155">
      <c r="G155" s="5"/>
      <c r="H155" s="5"/>
      <c r="I155" s="5"/>
      <c r="J155" s="13"/>
      <c r="K155" s="13"/>
      <c r="M155" s="5"/>
    </row>
    <row r="156">
      <c r="G156" s="5"/>
      <c r="H156" s="5"/>
      <c r="I156" s="5"/>
      <c r="J156" s="13"/>
      <c r="K156" s="13"/>
      <c r="M156" s="5"/>
    </row>
    <row r="157">
      <c r="G157" s="5"/>
      <c r="H157" s="5"/>
      <c r="I157" s="5"/>
      <c r="J157" s="13"/>
      <c r="K157" s="13"/>
      <c r="M157" s="5"/>
    </row>
    <row r="158">
      <c r="G158" s="5"/>
      <c r="H158" s="5"/>
      <c r="I158" s="5"/>
      <c r="J158" s="13"/>
      <c r="K158" s="13"/>
      <c r="M158" s="5"/>
    </row>
    <row r="159">
      <c r="G159" s="5"/>
      <c r="H159" s="5"/>
      <c r="I159" s="5"/>
      <c r="J159" s="13"/>
      <c r="K159" s="13"/>
      <c r="M159" s="5"/>
    </row>
    <row r="160">
      <c r="G160" s="5"/>
      <c r="H160" s="5"/>
      <c r="I160" s="5"/>
      <c r="J160" s="13"/>
      <c r="K160" s="13"/>
      <c r="M160" s="5"/>
    </row>
    <row r="161">
      <c r="G161" s="5"/>
      <c r="H161" s="5"/>
      <c r="I161" s="5"/>
      <c r="J161" s="13"/>
      <c r="K161" s="13"/>
      <c r="M161" s="5"/>
    </row>
    <row r="162">
      <c r="G162" s="5"/>
      <c r="H162" s="5"/>
      <c r="I162" s="5"/>
      <c r="J162" s="13"/>
      <c r="K162" s="13"/>
      <c r="M162" s="5"/>
    </row>
    <row r="163">
      <c r="G163" s="5"/>
      <c r="H163" s="5"/>
      <c r="I163" s="5"/>
      <c r="J163" s="13"/>
      <c r="K163" s="13"/>
      <c r="M163" s="5"/>
    </row>
    <row r="164">
      <c r="G164" s="5"/>
      <c r="H164" s="5"/>
      <c r="I164" s="5"/>
      <c r="J164" s="13"/>
      <c r="K164" s="13"/>
      <c r="M164" s="5"/>
    </row>
    <row r="165">
      <c r="G165" s="5"/>
      <c r="H165" s="5"/>
      <c r="I165" s="5"/>
      <c r="J165" s="13"/>
      <c r="K165" s="13"/>
      <c r="M165" s="5"/>
    </row>
    <row r="166">
      <c r="G166" s="5"/>
      <c r="H166" s="5"/>
      <c r="I166" s="5"/>
      <c r="J166" s="13"/>
      <c r="K166" s="13"/>
      <c r="M166" s="5"/>
    </row>
    <row r="167">
      <c r="G167" s="5"/>
      <c r="H167" s="5"/>
      <c r="I167" s="5"/>
      <c r="J167" s="13"/>
      <c r="K167" s="13"/>
      <c r="M167" s="5"/>
    </row>
    <row r="168">
      <c r="G168" s="5"/>
      <c r="H168" s="5"/>
      <c r="I168" s="5"/>
      <c r="J168" s="13"/>
      <c r="K168" s="13"/>
      <c r="M168" s="5"/>
    </row>
    <row r="169">
      <c r="G169" s="5"/>
      <c r="H169" s="5"/>
      <c r="I169" s="5"/>
      <c r="J169" s="13"/>
      <c r="K169" s="13"/>
      <c r="M169" s="5"/>
    </row>
    <row r="170">
      <c r="G170" s="5"/>
      <c r="H170" s="5"/>
      <c r="I170" s="5"/>
      <c r="J170" s="13"/>
      <c r="K170" s="13"/>
      <c r="M170" s="5"/>
    </row>
    <row r="171">
      <c r="G171" s="5"/>
      <c r="H171" s="5"/>
      <c r="I171" s="5"/>
      <c r="J171" s="13"/>
      <c r="K171" s="13"/>
      <c r="M171" s="5"/>
    </row>
    <row r="172">
      <c r="G172" s="5"/>
      <c r="H172" s="5"/>
      <c r="I172" s="5"/>
      <c r="J172" s="13"/>
      <c r="K172" s="13"/>
      <c r="M172" s="5"/>
    </row>
    <row r="173">
      <c r="G173" s="5"/>
      <c r="H173" s="5"/>
      <c r="I173" s="5"/>
      <c r="J173" s="13"/>
      <c r="K173" s="13"/>
      <c r="M173" s="5"/>
    </row>
    <row r="174">
      <c r="G174" s="5"/>
      <c r="H174" s="5"/>
      <c r="I174" s="5"/>
      <c r="J174" s="13"/>
      <c r="K174" s="13"/>
      <c r="M174" s="5"/>
    </row>
    <row r="175">
      <c r="G175" s="5"/>
      <c r="H175" s="5"/>
      <c r="I175" s="5"/>
      <c r="J175" s="13"/>
      <c r="K175" s="13"/>
      <c r="M175" s="5"/>
    </row>
    <row r="176">
      <c r="G176" s="5"/>
      <c r="H176" s="5"/>
      <c r="I176" s="5"/>
      <c r="J176" s="13"/>
      <c r="K176" s="13"/>
      <c r="M176" s="5"/>
    </row>
    <row r="177">
      <c r="G177" s="5"/>
      <c r="H177" s="5"/>
      <c r="I177" s="5"/>
      <c r="J177" s="13"/>
      <c r="K177" s="13"/>
      <c r="M177" s="5"/>
    </row>
    <row r="178">
      <c r="G178" s="5"/>
      <c r="H178" s="5"/>
      <c r="I178" s="5"/>
      <c r="J178" s="13"/>
      <c r="K178" s="13"/>
      <c r="M178" s="5"/>
    </row>
    <row r="179">
      <c r="G179" s="5"/>
      <c r="H179" s="5"/>
      <c r="I179" s="5"/>
      <c r="J179" s="13"/>
      <c r="K179" s="13"/>
      <c r="M179" s="5"/>
    </row>
    <row r="180">
      <c r="G180" s="5"/>
      <c r="H180" s="5"/>
      <c r="I180" s="5"/>
      <c r="J180" s="13"/>
      <c r="K180" s="13"/>
      <c r="M180" s="5"/>
    </row>
    <row r="181">
      <c r="G181" s="5"/>
      <c r="H181" s="5"/>
      <c r="I181" s="5"/>
      <c r="J181" s="13"/>
      <c r="K181" s="13"/>
      <c r="M181" s="5"/>
    </row>
    <row r="182">
      <c r="G182" s="5"/>
      <c r="H182" s="5"/>
      <c r="I182" s="5"/>
      <c r="J182" s="13"/>
      <c r="K182" s="13"/>
      <c r="M182" s="5"/>
    </row>
    <row r="183">
      <c r="G183" s="5"/>
      <c r="H183" s="5"/>
      <c r="I183" s="5"/>
      <c r="J183" s="13"/>
      <c r="K183" s="13"/>
      <c r="M183" s="5"/>
    </row>
    <row r="184">
      <c r="G184" s="5"/>
      <c r="H184" s="5"/>
      <c r="I184" s="5"/>
      <c r="J184" s="13"/>
      <c r="K184" s="13"/>
      <c r="M184" s="5"/>
    </row>
    <row r="185">
      <c r="G185" s="5"/>
      <c r="H185" s="5"/>
      <c r="I185" s="5"/>
      <c r="J185" s="13"/>
      <c r="K185" s="13"/>
      <c r="M185" s="5"/>
    </row>
    <row r="186">
      <c r="G186" s="5"/>
      <c r="H186" s="5"/>
      <c r="I186" s="5"/>
      <c r="J186" s="13"/>
      <c r="K186" s="13"/>
      <c r="M186" s="5"/>
    </row>
    <row r="187">
      <c r="G187" s="5"/>
      <c r="H187" s="5"/>
      <c r="I187" s="5"/>
      <c r="J187" s="13"/>
      <c r="K187" s="13"/>
      <c r="M187" s="5"/>
    </row>
    <row r="188">
      <c r="G188" s="5"/>
      <c r="H188" s="5"/>
      <c r="I188" s="5"/>
      <c r="J188" s="13"/>
      <c r="K188" s="13"/>
      <c r="M188" s="5"/>
    </row>
    <row r="189">
      <c r="G189" s="5"/>
      <c r="H189" s="5"/>
      <c r="I189" s="5"/>
      <c r="J189" s="13"/>
      <c r="K189" s="13"/>
      <c r="M189" s="5"/>
    </row>
    <row r="190">
      <c r="G190" s="5"/>
      <c r="H190" s="5"/>
      <c r="I190" s="5"/>
      <c r="J190" s="13"/>
      <c r="K190" s="13"/>
      <c r="M190" s="5"/>
    </row>
    <row r="191">
      <c r="G191" s="5"/>
      <c r="H191" s="5"/>
      <c r="I191" s="5"/>
      <c r="J191" s="13"/>
      <c r="K191" s="13"/>
      <c r="M191" s="5"/>
    </row>
    <row r="192">
      <c r="G192" s="5"/>
      <c r="H192" s="5"/>
      <c r="I192" s="5"/>
      <c r="J192" s="13"/>
      <c r="K192" s="13"/>
      <c r="M192" s="5"/>
    </row>
    <row r="193">
      <c r="G193" s="5"/>
      <c r="H193" s="5"/>
      <c r="I193" s="5"/>
      <c r="J193" s="13"/>
      <c r="K193" s="13"/>
      <c r="M193" s="5"/>
    </row>
    <row r="194">
      <c r="G194" s="5"/>
      <c r="H194" s="5"/>
      <c r="I194" s="5"/>
      <c r="J194" s="13"/>
      <c r="K194" s="13"/>
      <c r="M194" s="5"/>
    </row>
    <row r="195">
      <c r="G195" s="5"/>
      <c r="H195" s="5"/>
      <c r="I195" s="5"/>
      <c r="J195" s="13"/>
      <c r="K195" s="13"/>
      <c r="M195" s="5"/>
    </row>
    <row r="196">
      <c r="G196" s="5"/>
      <c r="H196" s="5"/>
      <c r="I196" s="5"/>
      <c r="J196" s="13"/>
      <c r="K196" s="13"/>
      <c r="M196" s="5"/>
    </row>
    <row r="197">
      <c r="G197" s="5"/>
      <c r="H197" s="5"/>
      <c r="I197" s="5"/>
      <c r="J197" s="13"/>
      <c r="K197" s="13"/>
      <c r="M197" s="5"/>
    </row>
    <row r="198">
      <c r="G198" s="5"/>
      <c r="H198" s="5"/>
      <c r="I198" s="5"/>
      <c r="J198" s="13"/>
      <c r="K198" s="13"/>
      <c r="M198" s="5"/>
    </row>
    <row r="199">
      <c r="G199" s="5"/>
      <c r="H199" s="5"/>
      <c r="I199" s="5"/>
      <c r="J199" s="13"/>
      <c r="K199" s="13"/>
      <c r="M199" s="5"/>
    </row>
    <row r="200">
      <c r="G200" s="5"/>
      <c r="H200" s="5"/>
      <c r="I200" s="5"/>
      <c r="J200" s="13"/>
      <c r="K200" s="13"/>
      <c r="M200" s="5"/>
    </row>
    <row r="201">
      <c r="G201" s="5"/>
      <c r="H201" s="5"/>
      <c r="I201" s="5"/>
      <c r="J201" s="13"/>
      <c r="K201" s="13"/>
      <c r="M201" s="5"/>
    </row>
    <row r="202">
      <c r="G202" s="5"/>
      <c r="H202" s="5"/>
      <c r="I202" s="5"/>
      <c r="J202" s="13"/>
      <c r="K202" s="13"/>
      <c r="M202" s="5"/>
    </row>
    <row r="203">
      <c r="G203" s="5"/>
      <c r="H203" s="5"/>
      <c r="I203" s="5"/>
      <c r="J203" s="13"/>
      <c r="K203" s="13"/>
      <c r="M203" s="5"/>
    </row>
    <row r="204">
      <c r="G204" s="5"/>
      <c r="H204" s="5"/>
      <c r="I204" s="5"/>
      <c r="J204" s="13"/>
      <c r="K204" s="13"/>
      <c r="M204" s="5"/>
    </row>
    <row r="205">
      <c r="G205" s="5"/>
      <c r="H205" s="5"/>
      <c r="I205" s="5"/>
      <c r="J205" s="13"/>
      <c r="K205" s="13"/>
      <c r="M205" s="5"/>
    </row>
    <row r="206">
      <c r="G206" s="5"/>
      <c r="H206" s="5"/>
      <c r="I206" s="5"/>
      <c r="J206" s="13"/>
      <c r="K206" s="13"/>
      <c r="M206" s="5"/>
    </row>
    <row r="207">
      <c r="G207" s="5"/>
      <c r="H207" s="5"/>
      <c r="I207" s="5"/>
      <c r="J207" s="13"/>
      <c r="K207" s="13"/>
      <c r="M207" s="5"/>
    </row>
    <row r="208">
      <c r="G208" s="5"/>
      <c r="H208" s="5"/>
      <c r="I208" s="5"/>
      <c r="J208" s="13"/>
      <c r="K208" s="13"/>
      <c r="M208" s="5"/>
    </row>
    <row r="209">
      <c r="G209" s="5"/>
      <c r="H209" s="5"/>
      <c r="I209" s="5"/>
      <c r="J209" s="13"/>
      <c r="K209" s="13"/>
      <c r="M209" s="5"/>
    </row>
    <row r="210">
      <c r="G210" s="5"/>
      <c r="H210" s="5"/>
      <c r="I210" s="5"/>
      <c r="J210" s="13"/>
      <c r="K210" s="13"/>
      <c r="M210" s="5"/>
    </row>
    <row r="211">
      <c r="G211" s="5"/>
      <c r="H211" s="5"/>
      <c r="I211" s="5"/>
      <c r="J211" s="13"/>
      <c r="K211" s="13"/>
      <c r="M211" s="5"/>
    </row>
    <row r="212">
      <c r="G212" s="5"/>
      <c r="H212" s="5"/>
      <c r="I212" s="5"/>
      <c r="J212" s="13"/>
      <c r="K212" s="13"/>
      <c r="M212" s="5"/>
    </row>
    <row r="213">
      <c r="G213" s="5"/>
      <c r="H213" s="5"/>
      <c r="I213" s="5"/>
      <c r="J213" s="13"/>
      <c r="K213" s="13"/>
      <c r="M213" s="5"/>
    </row>
    <row r="214">
      <c r="G214" s="5"/>
      <c r="H214" s="5"/>
      <c r="I214" s="5"/>
      <c r="J214" s="13"/>
      <c r="K214" s="13"/>
      <c r="M214" s="5"/>
    </row>
    <row r="215">
      <c r="G215" s="5"/>
      <c r="H215" s="5"/>
      <c r="I215" s="5"/>
      <c r="J215" s="13"/>
      <c r="K215" s="13"/>
      <c r="M215" s="5"/>
    </row>
    <row r="216">
      <c r="G216" s="5"/>
      <c r="H216" s="5"/>
      <c r="I216" s="5"/>
      <c r="J216" s="13"/>
      <c r="K216" s="13"/>
      <c r="M216" s="5"/>
    </row>
    <row r="217">
      <c r="G217" s="5"/>
      <c r="H217" s="5"/>
      <c r="I217" s="5"/>
      <c r="J217" s="13"/>
      <c r="K217" s="13"/>
      <c r="M217" s="5"/>
    </row>
    <row r="218">
      <c r="G218" s="5"/>
      <c r="H218" s="5"/>
      <c r="I218" s="5"/>
      <c r="J218" s="13"/>
      <c r="K218" s="13"/>
      <c r="M218" s="5"/>
    </row>
    <row r="219">
      <c r="G219" s="5"/>
      <c r="H219" s="5"/>
      <c r="I219" s="5"/>
      <c r="J219" s="13"/>
      <c r="K219" s="13"/>
      <c r="M219" s="5"/>
    </row>
    <row r="220">
      <c r="G220" s="5"/>
      <c r="H220" s="5"/>
      <c r="I220" s="5"/>
      <c r="J220" s="13"/>
      <c r="K220" s="13"/>
      <c r="M220" s="5"/>
    </row>
    <row r="221">
      <c r="G221" s="5"/>
      <c r="H221" s="5"/>
      <c r="I221" s="5"/>
      <c r="J221" s="13"/>
      <c r="K221" s="13"/>
      <c r="M221" s="5"/>
    </row>
    <row r="222">
      <c r="G222" s="5"/>
      <c r="H222" s="5"/>
      <c r="I222" s="5"/>
      <c r="J222" s="13"/>
      <c r="K222" s="13"/>
      <c r="M222" s="5"/>
    </row>
    <row r="223">
      <c r="G223" s="5"/>
      <c r="H223" s="5"/>
      <c r="I223" s="5"/>
      <c r="J223" s="13"/>
      <c r="K223" s="13"/>
      <c r="M223" s="5"/>
    </row>
    <row r="224">
      <c r="G224" s="5"/>
      <c r="H224" s="5"/>
      <c r="I224" s="5"/>
      <c r="J224" s="13"/>
      <c r="K224" s="13"/>
      <c r="M224" s="5"/>
    </row>
    <row r="225">
      <c r="G225" s="5"/>
      <c r="H225" s="5"/>
      <c r="I225" s="5"/>
      <c r="J225" s="13"/>
      <c r="K225" s="13"/>
      <c r="M225" s="5"/>
    </row>
    <row r="226">
      <c r="G226" s="5"/>
      <c r="H226" s="5"/>
      <c r="I226" s="5"/>
      <c r="J226" s="13"/>
      <c r="K226" s="13"/>
      <c r="M226" s="5"/>
    </row>
    <row r="227">
      <c r="G227" s="5"/>
      <c r="H227" s="5"/>
      <c r="I227" s="5"/>
      <c r="J227" s="13"/>
      <c r="K227" s="13"/>
      <c r="M227" s="5"/>
    </row>
    <row r="228">
      <c r="G228" s="5"/>
      <c r="H228" s="5"/>
      <c r="I228" s="5"/>
      <c r="J228" s="13"/>
      <c r="K228" s="13"/>
      <c r="M228" s="5"/>
    </row>
    <row r="229">
      <c r="G229" s="5"/>
      <c r="H229" s="5"/>
      <c r="I229" s="5"/>
      <c r="J229" s="13"/>
      <c r="K229" s="13"/>
      <c r="M229" s="5"/>
    </row>
    <row r="230">
      <c r="G230" s="5"/>
      <c r="H230" s="5"/>
      <c r="I230" s="5"/>
      <c r="J230" s="13"/>
      <c r="K230" s="13"/>
      <c r="M230" s="5"/>
    </row>
    <row r="231">
      <c r="G231" s="5"/>
      <c r="H231" s="5"/>
      <c r="I231" s="5"/>
      <c r="J231" s="13"/>
      <c r="K231" s="13"/>
      <c r="M231" s="5"/>
    </row>
    <row r="232">
      <c r="G232" s="5"/>
      <c r="H232" s="5"/>
      <c r="I232" s="5"/>
      <c r="J232" s="13"/>
      <c r="K232" s="13"/>
      <c r="M232" s="5"/>
    </row>
    <row r="233">
      <c r="G233" s="5"/>
      <c r="H233" s="5"/>
      <c r="I233" s="5"/>
      <c r="J233" s="13"/>
      <c r="K233" s="13"/>
      <c r="M233" s="5"/>
    </row>
    <row r="234">
      <c r="G234" s="5"/>
      <c r="H234" s="5"/>
      <c r="I234" s="5"/>
      <c r="J234" s="13"/>
      <c r="K234" s="13"/>
      <c r="M234" s="5"/>
    </row>
    <row r="235">
      <c r="G235" s="5"/>
      <c r="H235" s="5"/>
      <c r="I235" s="5"/>
      <c r="J235" s="13"/>
      <c r="K235" s="13"/>
      <c r="M235" s="5"/>
    </row>
    <row r="236">
      <c r="G236" s="5"/>
      <c r="H236" s="5"/>
      <c r="I236" s="5"/>
      <c r="J236" s="13"/>
      <c r="K236" s="13"/>
      <c r="M236" s="5"/>
    </row>
    <row r="237">
      <c r="G237" s="5"/>
      <c r="H237" s="5"/>
      <c r="I237" s="5"/>
      <c r="J237" s="13"/>
      <c r="K237" s="13"/>
      <c r="M237" s="5"/>
    </row>
    <row r="238">
      <c r="G238" s="5"/>
      <c r="H238" s="5"/>
      <c r="I238" s="5"/>
      <c r="J238" s="13"/>
      <c r="K238" s="13"/>
      <c r="M238" s="5"/>
    </row>
    <row r="239">
      <c r="G239" s="5"/>
      <c r="H239" s="5"/>
      <c r="I239" s="5"/>
      <c r="J239" s="13"/>
      <c r="K239" s="13"/>
      <c r="M239" s="5"/>
    </row>
    <row r="240">
      <c r="G240" s="5"/>
      <c r="H240" s="5"/>
      <c r="I240" s="5"/>
      <c r="J240" s="13"/>
      <c r="K240" s="13"/>
      <c r="M240" s="5"/>
    </row>
    <row r="241">
      <c r="G241" s="5"/>
      <c r="H241" s="5"/>
      <c r="I241" s="5"/>
      <c r="J241" s="13"/>
      <c r="K241" s="13"/>
      <c r="M241" s="5"/>
    </row>
    <row r="242">
      <c r="G242" s="5"/>
      <c r="H242" s="5"/>
      <c r="I242" s="5"/>
      <c r="J242" s="13"/>
      <c r="K242" s="13"/>
      <c r="M242" s="5"/>
    </row>
    <row r="243">
      <c r="G243" s="5"/>
      <c r="H243" s="5"/>
      <c r="I243" s="5"/>
      <c r="J243" s="13"/>
      <c r="K243" s="13"/>
      <c r="M243" s="5"/>
    </row>
    <row r="244">
      <c r="G244" s="5"/>
      <c r="H244" s="5"/>
      <c r="I244" s="5"/>
      <c r="J244" s="13"/>
      <c r="K244" s="13"/>
      <c r="M244" s="5"/>
    </row>
    <row r="245">
      <c r="G245" s="5"/>
      <c r="H245" s="5"/>
      <c r="I245" s="5"/>
      <c r="J245" s="13"/>
      <c r="K245" s="13"/>
      <c r="M245" s="5"/>
    </row>
    <row r="246">
      <c r="G246" s="5"/>
      <c r="H246" s="5"/>
      <c r="I246" s="5"/>
      <c r="J246" s="13"/>
      <c r="K246" s="13"/>
      <c r="M246" s="5"/>
    </row>
    <row r="247">
      <c r="G247" s="5"/>
      <c r="H247" s="5"/>
      <c r="I247" s="5"/>
      <c r="J247" s="13"/>
      <c r="K247" s="13"/>
      <c r="M247" s="5"/>
    </row>
    <row r="248">
      <c r="G248" s="5"/>
      <c r="H248" s="5"/>
      <c r="I248" s="5"/>
      <c r="J248" s="13"/>
      <c r="K248" s="13"/>
      <c r="M248" s="5"/>
    </row>
    <row r="249">
      <c r="G249" s="5"/>
      <c r="H249" s="5"/>
      <c r="I249" s="5"/>
      <c r="J249" s="13"/>
      <c r="K249" s="13"/>
      <c r="M249" s="5"/>
    </row>
    <row r="250">
      <c r="G250" s="5"/>
      <c r="H250" s="5"/>
      <c r="I250" s="5"/>
      <c r="J250" s="13"/>
      <c r="K250" s="13"/>
      <c r="M250" s="5"/>
    </row>
    <row r="251">
      <c r="G251" s="5"/>
      <c r="H251" s="5"/>
      <c r="I251" s="5"/>
      <c r="J251" s="13"/>
      <c r="K251" s="13"/>
      <c r="M251" s="5"/>
    </row>
    <row r="252">
      <c r="G252" s="5"/>
      <c r="H252" s="5"/>
      <c r="I252" s="5"/>
      <c r="J252" s="13"/>
      <c r="K252" s="13"/>
      <c r="M252" s="5"/>
    </row>
    <row r="253">
      <c r="G253" s="5"/>
      <c r="H253" s="5"/>
      <c r="I253" s="5"/>
      <c r="J253" s="13"/>
      <c r="K253" s="13"/>
      <c r="M253" s="5"/>
    </row>
    <row r="254">
      <c r="G254" s="5"/>
      <c r="H254" s="5"/>
      <c r="I254" s="5"/>
      <c r="J254" s="13"/>
      <c r="K254" s="13"/>
      <c r="M254" s="5"/>
    </row>
    <row r="255">
      <c r="G255" s="5"/>
      <c r="H255" s="5"/>
      <c r="I255" s="5"/>
      <c r="J255" s="13"/>
      <c r="K255" s="13"/>
      <c r="M255" s="5"/>
    </row>
    <row r="256">
      <c r="G256" s="5"/>
      <c r="H256" s="5"/>
      <c r="I256" s="5"/>
      <c r="J256" s="13"/>
      <c r="K256" s="13"/>
      <c r="M256" s="5"/>
    </row>
    <row r="257">
      <c r="G257" s="5"/>
      <c r="H257" s="5"/>
      <c r="I257" s="5"/>
      <c r="J257" s="13"/>
      <c r="K257" s="13"/>
      <c r="M257" s="5"/>
    </row>
    <row r="258">
      <c r="G258" s="5"/>
      <c r="H258" s="5"/>
      <c r="I258" s="5"/>
      <c r="J258" s="13"/>
      <c r="K258" s="13"/>
      <c r="M258" s="5"/>
    </row>
    <row r="259">
      <c r="G259" s="5"/>
      <c r="H259" s="5"/>
      <c r="I259" s="5"/>
      <c r="J259" s="13"/>
      <c r="K259" s="13"/>
      <c r="M259" s="5"/>
    </row>
    <row r="260">
      <c r="G260" s="5"/>
      <c r="H260" s="5"/>
      <c r="I260" s="5"/>
      <c r="J260" s="13"/>
      <c r="K260" s="13"/>
      <c r="M260" s="5"/>
    </row>
    <row r="261">
      <c r="G261" s="5"/>
      <c r="H261" s="5"/>
      <c r="I261" s="5"/>
      <c r="J261" s="13"/>
      <c r="K261" s="13"/>
      <c r="M261" s="5"/>
    </row>
    <row r="262">
      <c r="G262" s="5"/>
      <c r="H262" s="5"/>
      <c r="I262" s="5"/>
      <c r="J262" s="13"/>
      <c r="K262" s="13"/>
      <c r="M262" s="5"/>
    </row>
    <row r="263">
      <c r="G263" s="5"/>
      <c r="H263" s="5"/>
      <c r="I263" s="5"/>
      <c r="J263" s="13"/>
      <c r="K263" s="13"/>
      <c r="M263" s="5"/>
    </row>
    <row r="264">
      <c r="G264" s="5"/>
      <c r="H264" s="5"/>
      <c r="I264" s="5"/>
      <c r="J264" s="13"/>
      <c r="K264" s="13"/>
      <c r="M264" s="5"/>
    </row>
    <row r="265">
      <c r="G265" s="5"/>
      <c r="H265" s="5"/>
      <c r="I265" s="5"/>
      <c r="J265" s="13"/>
      <c r="K265" s="13"/>
      <c r="M265" s="5"/>
    </row>
    <row r="266">
      <c r="G266" s="5"/>
      <c r="H266" s="5"/>
      <c r="I266" s="5"/>
      <c r="J266" s="13"/>
      <c r="K266" s="13"/>
      <c r="M266" s="5"/>
    </row>
    <row r="267">
      <c r="G267" s="5"/>
      <c r="H267" s="5"/>
      <c r="I267" s="5"/>
      <c r="J267" s="13"/>
      <c r="K267" s="13"/>
      <c r="M267" s="5"/>
    </row>
    <row r="268">
      <c r="G268" s="5"/>
      <c r="H268" s="5"/>
      <c r="I268" s="5"/>
      <c r="J268" s="13"/>
      <c r="K268" s="13"/>
      <c r="M268" s="5"/>
    </row>
    <row r="269">
      <c r="G269" s="5"/>
      <c r="H269" s="5"/>
      <c r="I269" s="5"/>
      <c r="J269" s="13"/>
      <c r="K269" s="13"/>
      <c r="M269" s="5"/>
    </row>
    <row r="270">
      <c r="G270" s="5"/>
      <c r="H270" s="5"/>
      <c r="I270" s="5"/>
      <c r="J270" s="13"/>
      <c r="K270" s="13"/>
      <c r="M270" s="5"/>
    </row>
    <row r="271">
      <c r="G271" s="5"/>
      <c r="H271" s="5"/>
      <c r="I271" s="5"/>
      <c r="J271" s="13"/>
      <c r="K271" s="13"/>
      <c r="M271" s="5"/>
    </row>
    <row r="272">
      <c r="G272" s="5"/>
      <c r="H272" s="5"/>
      <c r="I272" s="5"/>
      <c r="J272" s="13"/>
      <c r="K272" s="13"/>
      <c r="M272" s="5"/>
    </row>
    <row r="273">
      <c r="G273" s="5"/>
      <c r="H273" s="5"/>
      <c r="I273" s="5"/>
      <c r="J273" s="13"/>
      <c r="K273" s="13"/>
      <c r="M273" s="5"/>
    </row>
    <row r="274">
      <c r="G274" s="5"/>
      <c r="H274" s="5"/>
      <c r="I274" s="5"/>
      <c r="J274" s="13"/>
      <c r="K274" s="13"/>
      <c r="M274" s="5"/>
    </row>
    <row r="275">
      <c r="G275" s="5"/>
      <c r="H275" s="5"/>
      <c r="I275" s="5"/>
      <c r="J275" s="13"/>
      <c r="K275" s="13"/>
      <c r="M275" s="5"/>
    </row>
    <row r="276">
      <c r="G276" s="5"/>
      <c r="H276" s="5"/>
      <c r="I276" s="5"/>
      <c r="J276" s="13"/>
      <c r="K276" s="13"/>
      <c r="M276" s="5"/>
    </row>
    <row r="277">
      <c r="G277" s="5"/>
      <c r="H277" s="5"/>
      <c r="I277" s="5"/>
      <c r="J277" s="13"/>
      <c r="K277" s="13"/>
      <c r="M277" s="5"/>
    </row>
    <row r="278">
      <c r="G278" s="5"/>
      <c r="H278" s="5"/>
      <c r="I278" s="5"/>
      <c r="J278" s="13"/>
      <c r="K278" s="13"/>
      <c r="M278" s="5"/>
    </row>
    <row r="279">
      <c r="G279" s="5"/>
      <c r="H279" s="5"/>
      <c r="I279" s="5"/>
      <c r="J279" s="13"/>
      <c r="K279" s="13"/>
      <c r="M279" s="5"/>
    </row>
    <row r="280">
      <c r="G280" s="5"/>
      <c r="H280" s="5"/>
      <c r="I280" s="5"/>
      <c r="J280" s="13"/>
      <c r="K280" s="13"/>
      <c r="M280" s="5"/>
    </row>
    <row r="281">
      <c r="G281" s="5"/>
      <c r="H281" s="5"/>
      <c r="I281" s="5"/>
      <c r="J281" s="13"/>
      <c r="K281" s="13"/>
      <c r="M281" s="5"/>
    </row>
    <row r="282">
      <c r="G282" s="5"/>
      <c r="H282" s="5"/>
      <c r="I282" s="5"/>
      <c r="J282" s="13"/>
      <c r="K282" s="13"/>
      <c r="M282" s="5"/>
    </row>
    <row r="283">
      <c r="G283" s="5"/>
      <c r="H283" s="5"/>
      <c r="I283" s="5"/>
      <c r="J283" s="13"/>
      <c r="K283" s="13"/>
      <c r="M283" s="5"/>
    </row>
    <row r="284">
      <c r="G284" s="5"/>
      <c r="H284" s="5"/>
      <c r="I284" s="5"/>
      <c r="J284" s="13"/>
      <c r="K284" s="13"/>
      <c r="M284" s="5"/>
    </row>
    <row r="285">
      <c r="G285" s="5"/>
      <c r="H285" s="5"/>
      <c r="I285" s="5"/>
      <c r="J285" s="13"/>
      <c r="K285" s="13"/>
      <c r="M285" s="5"/>
    </row>
    <row r="286">
      <c r="G286" s="5"/>
      <c r="H286" s="5"/>
      <c r="I286" s="5"/>
      <c r="J286" s="13"/>
      <c r="K286" s="13"/>
      <c r="M286" s="5"/>
    </row>
    <row r="287">
      <c r="G287" s="5"/>
      <c r="H287" s="5"/>
      <c r="I287" s="5"/>
      <c r="J287" s="13"/>
      <c r="K287" s="13"/>
      <c r="M287" s="5"/>
    </row>
    <row r="288">
      <c r="G288" s="5"/>
      <c r="H288" s="5"/>
      <c r="I288" s="5"/>
      <c r="J288" s="13"/>
      <c r="K288" s="13"/>
      <c r="M288" s="5"/>
    </row>
    <row r="289">
      <c r="G289" s="5"/>
      <c r="H289" s="5"/>
      <c r="I289" s="5"/>
      <c r="J289" s="13"/>
      <c r="K289" s="13"/>
      <c r="M289" s="5"/>
    </row>
    <row r="290">
      <c r="G290" s="5"/>
      <c r="H290" s="5"/>
      <c r="I290" s="5"/>
      <c r="J290" s="13"/>
      <c r="K290" s="13"/>
      <c r="M290" s="5"/>
    </row>
    <row r="291">
      <c r="G291" s="5"/>
      <c r="H291" s="5"/>
      <c r="I291" s="5"/>
      <c r="J291" s="13"/>
      <c r="K291" s="13"/>
      <c r="M291" s="5"/>
    </row>
    <row r="292">
      <c r="G292" s="5"/>
      <c r="H292" s="5"/>
      <c r="I292" s="5"/>
      <c r="J292" s="13"/>
      <c r="K292" s="13"/>
      <c r="M292" s="5"/>
    </row>
    <row r="293">
      <c r="G293" s="5"/>
      <c r="H293" s="5"/>
      <c r="I293" s="5"/>
      <c r="J293" s="13"/>
      <c r="K293" s="13"/>
      <c r="M293" s="5"/>
    </row>
    <row r="294">
      <c r="G294" s="5"/>
      <c r="H294" s="5"/>
      <c r="I294" s="5"/>
      <c r="J294" s="13"/>
      <c r="K294" s="13"/>
      <c r="M294" s="5"/>
    </row>
    <row r="295">
      <c r="G295" s="5"/>
      <c r="H295" s="5"/>
      <c r="I295" s="5"/>
      <c r="J295" s="13"/>
      <c r="K295" s="13"/>
      <c r="M295" s="5"/>
    </row>
    <row r="296">
      <c r="G296" s="5"/>
      <c r="H296" s="5"/>
      <c r="I296" s="5"/>
      <c r="J296" s="13"/>
      <c r="K296" s="13"/>
      <c r="M296" s="5"/>
    </row>
    <row r="297">
      <c r="G297" s="5"/>
      <c r="H297" s="5"/>
      <c r="I297" s="5"/>
      <c r="J297" s="13"/>
      <c r="K297" s="13"/>
      <c r="M297" s="5"/>
    </row>
    <row r="298">
      <c r="G298" s="5"/>
      <c r="H298" s="5"/>
      <c r="I298" s="5"/>
      <c r="J298" s="13"/>
      <c r="K298" s="13"/>
      <c r="M298" s="5"/>
    </row>
    <row r="299">
      <c r="G299" s="5"/>
      <c r="H299" s="5"/>
      <c r="I299" s="5"/>
      <c r="J299" s="13"/>
      <c r="K299" s="13"/>
      <c r="M299" s="5"/>
    </row>
    <row r="300">
      <c r="G300" s="5"/>
      <c r="H300" s="5"/>
      <c r="I300" s="5"/>
      <c r="J300" s="13"/>
      <c r="K300" s="13"/>
      <c r="M300" s="5"/>
    </row>
    <row r="301">
      <c r="G301" s="5"/>
      <c r="H301" s="5"/>
      <c r="I301" s="5"/>
      <c r="J301" s="13"/>
      <c r="K301" s="13"/>
      <c r="M301" s="5"/>
    </row>
    <row r="302">
      <c r="G302" s="5"/>
      <c r="H302" s="5"/>
      <c r="I302" s="5"/>
      <c r="J302" s="13"/>
      <c r="K302" s="13"/>
      <c r="M302" s="5"/>
    </row>
    <row r="303">
      <c r="G303" s="5"/>
      <c r="H303" s="5"/>
      <c r="I303" s="5"/>
      <c r="J303" s="13"/>
      <c r="K303" s="13"/>
      <c r="M303" s="5"/>
    </row>
    <row r="304">
      <c r="G304" s="5"/>
      <c r="H304" s="5"/>
      <c r="I304" s="5"/>
      <c r="J304" s="13"/>
      <c r="K304" s="13"/>
      <c r="M304" s="5"/>
    </row>
    <row r="305">
      <c r="G305" s="5"/>
      <c r="H305" s="5"/>
      <c r="I305" s="5"/>
      <c r="J305" s="13"/>
      <c r="K305" s="13"/>
      <c r="M305" s="5"/>
    </row>
    <row r="306">
      <c r="G306" s="5"/>
      <c r="H306" s="5"/>
      <c r="I306" s="5"/>
      <c r="J306" s="13"/>
      <c r="K306" s="13"/>
      <c r="M306" s="5"/>
    </row>
    <row r="307">
      <c r="G307" s="5"/>
      <c r="H307" s="5"/>
      <c r="I307" s="5"/>
      <c r="J307" s="13"/>
      <c r="K307" s="13"/>
      <c r="M307" s="5"/>
    </row>
    <row r="308">
      <c r="G308" s="5"/>
      <c r="H308" s="5"/>
      <c r="I308" s="5"/>
      <c r="J308" s="13"/>
      <c r="K308" s="13"/>
      <c r="M308" s="5"/>
    </row>
    <row r="309">
      <c r="G309" s="5"/>
      <c r="H309" s="5"/>
      <c r="I309" s="5"/>
      <c r="J309" s="13"/>
      <c r="K309" s="13"/>
      <c r="M309" s="5"/>
    </row>
    <row r="310">
      <c r="G310" s="5"/>
      <c r="H310" s="5"/>
      <c r="I310" s="5"/>
      <c r="J310" s="13"/>
      <c r="K310" s="13"/>
      <c r="M310" s="5"/>
    </row>
    <row r="311">
      <c r="G311" s="5"/>
      <c r="H311" s="5"/>
      <c r="I311" s="5"/>
      <c r="J311" s="13"/>
      <c r="K311" s="13"/>
      <c r="M311" s="5"/>
    </row>
    <row r="312">
      <c r="G312" s="5"/>
      <c r="H312" s="5"/>
      <c r="I312" s="5"/>
      <c r="J312" s="13"/>
      <c r="K312" s="13"/>
      <c r="M312" s="5"/>
    </row>
    <row r="313">
      <c r="G313" s="5"/>
      <c r="H313" s="5"/>
      <c r="I313" s="5"/>
      <c r="J313" s="13"/>
      <c r="K313" s="13"/>
      <c r="M313" s="5"/>
    </row>
    <row r="314">
      <c r="G314" s="5"/>
      <c r="H314" s="5"/>
      <c r="I314" s="5"/>
      <c r="J314" s="13"/>
      <c r="K314" s="13"/>
      <c r="M314" s="5"/>
    </row>
    <row r="315">
      <c r="G315" s="5"/>
      <c r="H315" s="5"/>
      <c r="I315" s="5"/>
      <c r="J315" s="13"/>
      <c r="K315" s="13"/>
      <c r="M315" s="5"/>
    </row>
    <row r="316">
      <c r="G316" s="5"/>
      <c r="H316" s="5"/>
      <c r="I316" s="5"/>
      <c r="J316" s="13"/>
      <c r="K316" s="13"/>
      <c r="M316" s="5"/>
    </row>
    <row r="317">
      <c r="G317" s="5"/>
      <c r="H317" s="5"/>
      <c r="I317" s="5"/>
      <c r="J317" s="13"/>
      <c r="K317" s="13"/>
      <c r="M317" s="5"/>
    </row>
    <row r="318">
      <c r="G318" s="5"/>
      <c r="H318" s="5"/>
      <c r="I318" s="5"/>
      <c r="J318" s="13"/>
      <c r="K318" s="13"/>
      <c r="M318" s="5"/>
    </row>
    <row r="319">
      <c r="G319" s="5"/>
      <c r="H319" s="5"/>
      <c r="I319" s="5"/>
      <c r="J319" s="13"/>
      <c r="K319" s="13"/>
      <c r="M319" s="5"/>
    </row>
    <row r="320">
      <c r="G320" s="5"/>
      <c r="H320" s="5"/>
      <c r="I320" s="5"/>
      <c r="J320" s="13"/>
      <c r="K320" s="13"/>
      <c r="M320" s="5"/>
    </row>
    <row r="321">
      <c r="G321" s="5"/>
      <c r="H321" s="5"/>
      <c r="I321" s="5"/>
      <c r="J321" s="13"/>
      <c r="K321" s="13"/>
      <c r="M321" s="5"/>
    </row>
    <row r="322">
      <c r="G322" s="5"/>
      <c r="H322" s="5"/>
      <c r="I322" s="5"/>
      <c r="J322" s="13"/>
      <c r="K322" s="13"/>
      <c r="M322" s="5"/>
    </row>
    <row r="323">
      <c r="G323" s="5"/>
      <c r="H323" s="5"/>
      <c r="I323" s="5"/>
      <c r="J323" s="13"/>
      <c r="K323" s="13"/>
      <c r="M323" s="5"/>
    </row>
    <row r="324">
      <c r="G324" s="5"/>
      <c r="H324" s="5"/>
      <c r="I324" s="5"/>
      <c r="J324" s="13"/>
      <c r="K324" s="13"/>
      <c r="M324" s="5"/>
    </row>
    <row r="325">
      <c r="G325" s="5"/>
      <c r="H325" s="5"/>
      <c r="I325" s="5"/>
      <c r="J325" s="13"/>
      <c r="K325" s="13"/>
      <c r="M325" s="5"/>
    </row>
    <row r="326">
      <c r="G326" s="5"/>
      <c r="H326" s="5"/>
      <c r="I326" s="5"/>
      <c r="J326" s="13"/>
      <c r="K326" s="13"/>
      <c r="M326" s="5"/>
    </row>
    <row r="327">
      <c r="G327" s="5"/>
      <c r="H327" s="5"/>
      <c r="I327" s="5"/>
      <c r="J327" s="13"/>
      <c r="K327" s="13"/>
      <c r="M327" s="5"/>
    </row>
    <row r="328">
      <c r="G328" s="5"/>
      <c r="H328" s="5"/>
      <c r="I328" s="5"/>
      <c r="J328" s="13"/>
      <c r="K328" s="13"/>
      <c r="M328" s="5"/>
    </row>
    <row r="329">
      <c r="G329" s="5"/>
      <c r="H329" s="5"/>
      <c r="I329" s="5"/>
      <c r="J329" s="13"/>
      <c r="K329" s="13"/>
      <c r="M329" s="5"/>
    </row>
    <row r="330">
      <c r="G330" s="5"/>
      <c r="H330" s="5"/>
      <c r="I330" s="5"/>
      <c r="J330" s="13"/>
      <c r="K330" s="13"/>
      <c r="M330" s="5"/>
    </row>
    <row r="331">
      <c r="G331" s="5"/>
      <c r="H331" s="5"/>
      <c r="I331" s="5"/>
      <c r="J331" s="13"/>
      <c r="K331" s="13"/>
      <c r="M331" s="5"/>
    </row>
    <row r="332">
      <c r="G332" s="5"/>
      <c r="H332" s="5"/>
      <c r="I332" s="5"/>
      <c r="J332" s="13"/>
      <c r="K332" s="13"/>
      <c r="M332" s="5"/>
    </row>
    <row r="333">
      <c r="G333" s="5"/>
      <c r="H333" s="5"/>
      <c r="I333" s="5"/>
      <c r="J333" s="13"/>
      <c r="K333" s="13"/>
      <c r="M333" s="5"/>
    </row>
    <row r="334">
      <c r="G334" s="5"/>
      <c r="H334" s="5"/>
      <c r="I334" s="5"/>
      <c r="J334" s="13"/>
      <c r="K334" s="13"/>
      <c r="M334" s="5"/>
    </row>
    <row r="335">
      <c r="G335" s="5"/>
      <c r="H335" s="5"/>
      <c r="I335" s="5"/>
      <c r="J335" s="13"/>
      <c r="K335" s="13"/>
      <c r="M335" s="5"/>
    </row>
    <row r="336">
      <c r="G336" s="5"/>
      <c r="H336" s="5"/>
      <c r="I336" s="5"/>
      <c r="J336" s="13"/>
      <c r="K336" s="13"/>
      <c r="M336" s="5"/>
    </row>
    <row r="337">
      <c r="G337" s="5"/>
      <c r="H337" s="5"/>
      <c r="I337" s="5"/>
      <c r="J337" s="13"/>
      <c r="K337" s="13"/>
      <c r="M337" s="5"/>
    </row>
    <row r="338">
      <c r="G338" s="5"/>
      <c r="H338" s="5"/>
      <c r="I338" s="5"/>
      <c r="J338" s="13"/>
      <c r="K338" s="13"/>
      <c r="M338" s="5"/>
    </row>
    <row r="339">
      <c r="G339" s="5"/>
      <c r="H339" s="5"/>
      <c r="I339" s="5"/>
      <c r="J339" s="13"/>
      <c r="K339" s="13"/>
      <c r="M339" s="5"/>
    </row>
    <row r="340">
      <c r="G340" s="5"/>
      <c r="H340" s="5"/>
      <c r="I340" s="5"/>
      <c r="J340" s="13"/>
      <c r="K340" s="13"/>
      <c r="M340" s="5"/>
    </row>
    <row r="341">
      <c r="G341" s="5"/>
      <c r="H341" s="5"/>
      <c r="I341" s="5"/>
      <c r="J341" s="13"/>
      <c r="K341" s="13"/>
      <c r="M341" s="5"/>
    </row>
    <row r="342">
      <c r="G342" s="5"/>
      <c r="H342" s="5"/>
      <c r="I342" s="5"/>
      <c r="J342" s="13"/>
      <c r="K342" s="13"/>
      <c r="M342" s="5"/>
    </row>
    <row r="343">
      <c r="G343" s="5"/>
      <c r="H343" s="5"/>
      <c r="I343" s="5"/>
      <c r="J343" s="13"/>
      <c r="K343" s="13"/>
      <c r="M343" s="5"/>
    </row>
    <row r="344">
      <c r="G344" s="5"/>
      <c r="H344" s="5"/>
      <c r="I344" s="5"/>
      <c r="J344" s="13"/>
      <c r="K344" s="13"/>
      <c r="M344" s="5"/>
    </row>
    <row r="345">
      <c r="G345" s="5"/>
      <c r="H345" s="5"/>
      <c r="I345" s="5"/>
      <c r="J345" s="13"/>
      <c r="K345" s="13"/>
      <c r="M345" s="5"/>
    </row>
    <row r="346">
      <c r="G346" s="5"/>
      <c r="H346" s="5"/>
      <c r="I346" s="5"/>
      <c r="J346" s="13"/>
      <c r="K346" s="13"/>
      <c r="M346" s="5"/>
    </row>
    <row r="347">
      <c r="G347" s="5"/>
      <c r="H347" s="5"/>
      <c r="I347" s="5"/>
      <c r="J347" s="13"/>
      <c r="K347" s="13"/>
      <c r="M347" s="5"/>
    </row>
    <row r="348">
      <c r="G348" s="5"/>
      <c r="H348" s="5"/>
      <c r="I348" s="5"/>
      <c r="J348" s="13"/>
      <c r="K348" s="13"/>
      <c r="M348" s="5"/>
    </row>
    <row r="349">
      <c r="G349" s="5"/>
      <c r="H349" s="5"/>
      <c r="I349" s="5"/>
      <c r="J349" s="13"/>
      <c r="K349" s="13"/>
      <c r="M349" s="5"/>
    </row>
    <row r="350">
      <c r="G350" s="5"/>
      <c r="H350" s="5"/>
      <c r="I350" s="5"/>
      <c r="J350" s="13"/>
      <c r="K350" s="13"/>
      <c r="M350" s="5"/>
    </row>
    <row r="351">
      <c r="G351" s="5"/>
      <c r="H351" s="5"/>
      <c r="I351" s="5"/>
      <c r="J351" s="13"/>
      <c r="K351" s="13"/>
      <c r="M351" s="5"/>
    </row>
    <row r="352">
      <c r="G352" s="5"/>
      <c r="H352" s="5"/>
      <c r="I352" s="5"/>
      <c r="J352" s="13"/>
      <c r="K352" s="13"/>
      <c r="M352" s="5"/>
    </row>
    <row r="353">
      <c r="G353" s="5"/>
      <c r="H353" s="5"/>
      <c r="I353" s="5"/>
      <c r="J353" s="13"/>
      <c r="K353" s="13"/>
      <c r="M353" s="5"/>
    </row>
    <row r="354">
      <c r="G354" s="5"/>
      <c r="H354" s="5"/>
      <c r="I354" s="5"/>
      <c r="J354" s="13"/>
      <c r="K354" s="13"/>
      <c r="M354" s="5"/>
    </row>
    <row r="355">
      <c r="G355" s="5"/>
      <c r="H355" s="5"/>
      <c r="I355" s="5"/>
      <c r="J355" s="13"/>
      <c r="K355" s="13"/>
      <c r="M355" s="5"/>
    </row>
    <row r="356">
      <c r="G356" s="5"/>
      <c r="H356" s="5"/>
      <c r="I356" s="5"/>
      <c r="J356" s="13"/>
      <c r="K356" s="13"/>
      <c r="M356" s="5"/>
    </row>
    <row r="357">
      <c r="G357" s="5"/>
      <c r="H357" s="5"/>
      <c r="I357" s="5"/>
      <c r="J357" s="13"/>
      <c r="K357" s="13"/>
      <c r="M357" s="5"/>
    </row>
    <row r="358">
      <c r="G358" s="5"/>
      <c r="H358" s="5"/>
      <c r="I358" s="5"/>
      <c r="J358" s="13"/>
      <c r="K358" s="13"/>
      <c r="M358" s="5"/>
    </row>
    <row r="359">
      <c r="G359" s="5"/>
      <c r="H359" s="5"/>
      <c r="I359" s="5"/>
      <c r="J359" s="13"/>
      <c r="K359" s="13"/>
      <c r="M359" s="5"/>
    </row>
    <row r="360">
      <c r="G360" s="5"/>
      <c r="H360" s="5"/>
      <c r="I360" s="5"/>
      <c r="J360" s="13"/>
      <c r="K360" s="13"/>
      <c r="M360" s="5"/>
    </row>
    <row r="361">
      <c r="G361" s="5"/>
      <c r="H361" s="5"/>
      <c r="I361" s="5"/>
      <c r="J361" s="13"/>
      <c r="K361" s="13"/>
      <c r="M361" s="5"/>
    </row>
    <row r="362">
      <c r="G362" s="5"/>
      <c r="H362" s="5"/>
      <c r="I362" s="5"/>
      <c r="J362" s="13"/>
      <c r="K362" s="13"/>
      <c r="M362" s="5"/>
    </row>
    <row r="363">
      <c r="G363" s="5"/>
      <c r="H363" s="5"/>
      <c r="I363" s="5"/>
      <c r="J363" s="13"/>
      <c r="K363" s="13"/>
      <c r="M363" s="5"/>
    </row>
    <row r="364">
      <c r="G364" s="5"/>
      <c r="H364" s="5"/>
      <c r="I364" s="5"/>
      <c r="J364" s="13"/>
      <c r="K364" s="13"/>
      <c r="M364" s="5"/>
    </row>
    <row r="365">
      <c r="G365" s="5"/>
      <c r="H365" s="5"/>
      <c r="I365" s="5"/>
      <c r="J365" s="13"/>
      <c r="K365" s="13"/>
      <c r="M365" s="5"/>
    </row>
    <row r="366">
      <c r="G366" s="5"/>
      <c r="H366" s="5"/>
      <c r="I366" s="5"/>
      <c r="J366" s="13"/>
      <c r="K366" s="13"/>
      <c r="M366" s="5"/>
    </row>
    <row r="367">
      <c r="G367" s="5"/>
      <c r="H367" s="5"/>
      <c r="I367" s="5"/>
      <c r="J367" s="13"/>
      <c r="K367" s="13"/>
      <c r="M367" s="5"/>
    </row>
    <row r="368">
      <c r="G368" s="5"/>
      <c r="H368" s="5"/>
      <c r="I368" s="5"/>
      <c r="J368" s="13"/>
      <c r="K368" s="13"/>
      <c r="M368" s="5"/>
    </row>
    <row r="369">
      <c r="G369" s="5"/>
      <c r="H369" s="5"/>
      <c r="I369" s="5"/>
      <c r="J369" s="13"/>
      <c r="K369" s="13"/>
      <c r="M369" s="5"/>
    </row>
    <row r="370">
      <c r="G370" s="5"/>
      <c r="H370" s="5"/>
      <c r="I370" s="5"/>
      <c r="J370" s="13"/>
      <c r="K370" s="13"/>
      <c r="M370" s="5"/>
    </row>
    <row r="371">
      <c r="G371" s="5"/>
      <c r="H371" s="5"/>
      <c r="I371" s="5"/>
      <c r="J371" s="13"/>
      <c r="K371" s="13"/>
      <c r="M371" s="5"/>
    </row>
    <row r="372">
      <c r="G372" s="5"/>
      <c r="H372" s="5"/>
      <c r="I372" s="5"/>
      <c r="J372" s="13"/>
      <c r="K372" s="13"/>
      <c r="M372" s="5"/>
    </row>
    <row r="373">
      <c r="G373" s="5"/>
      <c r="H373" s="5"/>
      <c r="I373" s="5"/>
      <c r="J373" s="13"/>
      <c r="K373" s="13"/>
      <c r="M373" s="5"/>
    </row>
    <row r="374">
      <c r="G374" s="5"/>
      <c r="H374" s="5"/>
      <c r="I374" s="5"/>
      <c r="J374" s="13"/>
      <c r="K374" s="13"/>
      <c r="M374" s="5"/>
    </row>
    <row r="375">
      <c r="G375" s="5"/>
      <c r="H375" s="5"/>
      <c r="I375" s="5"/>
      <c r="J375" s="13"/>
      <c r="K375" s="13"/>
      <c r="M375" s="5"/>
    </row>
    <row r="376">
      <c r="G376" s="5"/>
      <c r="H376" s="5"/>
      <c r="I376" s="5"/>
      <c r="J376" s="13"/>
      <c r="K376" s="13"/>
      <c r="M376" s="5"/>
    </row>
    <row r="377">
      <c r="G377" s="5"/>
      <c r="H377" s="5"/>
      <c r="I377" s="5"/>
      <c r="J377" s="13"/>
      <c r="K377" s="13"/>
      <c r="M377" s="5"/>
    </row>
    <row r="378">
      <c r="G378" s="5"/>
      <c r="H378" s="5"/>
      <c r="I378" s="5"/>
      <c r="J378" s="13"/>
      <c r="K378" s="13"/>
      <c r="M378" s="5"/>
    </row>
    <row r="379">
      <c r="G379" s="5"/>
      <c r="H379" s="5"/>
      <c r="I379" s="5"/>
      <c r="J379" s="13"/>
      <c r="K379" s="13"/>
      <c r="M379" s="5"/>
    </row>
    <row r="380">
      <c r="G380" s="5"/>
      <c r="H380" s="5"/>
      <c r="I380" s="5"/>
      <c r="J380" s="13"/>
      <c r="K380" s="13"/>
      <c r="M380" s="5"/>
    </row>
    <row r="381">
      <c r="G381" s="5"/>
      <c r="H381" s="5"/>
      <c r="I381" s="5"/>
      <c r="J381" s="13"/>
      <c r="K381" s="13"/>
      <c r="M381" s="5"/>
    </row>
    <row r="382">
      <c r="G382" s="5"/>
      <c r="H382" s="5"/>
      <c r="I382" s="5"/>
      <c r="J382" s="13"/>
      <c r="K382" s="13"/>
      <c r="M382" s="5"/>
    </row>
    <row r="383">
      <c r="G383" s="5"/>
      <c r="H383" s="5"/>
      <c r="I383" s="5"/>
      <c r="J383" s="13"/>
      <c r="K383" s="13"/>
      <c r="M383" s="5"/>
    </row>
    <row r="384">
      <c r="G384" s="5"/>
      <c r="H384" s="5"/>
      <c r="I384" s="5"/>
      <c r="J384" s="13"/>
      <c r="K384" s="13"/>
      <c r="M384" s="5"/>
    </row>
    <row r="385">
      <c r="G385" s="5"/>
      <c r="H385" s="5"/>
      <c r="I385" s="5"/>
      <c r="J385" s="13"/>
      <c r="K385" s="13"/>
      <c r="M385" s="5"/>
    </row>
    <row r="386">
      <c r="G386" s="5"/>
      <c r="H386" s="5"/>
      <c r="I386" s="5"/>
      <c r="J386" s="13"/>
      <c r="K386" s="13"/>
      <c r="M386" s="5"/>
    </row>
    <row r="387">
      <c r="G387" s="5"/>
      <c r="H387" s="5"/>
      <c r="I387" s="5"/>
      <c r="J387" s="13"/>
      <c r="K387" s="13"/>
      <c r="M387" s="5"/>
    </row>
    <row r="388">
      <c r="G388" s="5"/>
      <c r="H388" s="5"/>
      <c r="I388" s="5"/>
      <c r="J388" s="13"/>
      <c r="K388" s="13"/>
      <c r="M388" s="5"/>
    </row>
    <row r="389">
      <c r="G389" s="5"/>
      <c r="H389" s="5"/>
      <c r="I389" s="5"/>
      <c r="J389" s="13"/>
      <c r="K389" s="13"/>
      <c r="M389" s="5"/>
    </row>
    <row r="390">
      <c r="G390" s="5"/>
      <c r="H390" s="5"/>
      <c r="I390" s="5"/>
      <c r="J390" s="13"/>
      <c r="K390" s="13"/>
      <c r="M390" s="5"/>
    </row>
    <row r="391">
      <c r="G391" s="5"/>
      <c r="H391" s="5"/>
      <c r="I391" s="5"/>
      <c r="J391" s="13"/>
      <c r="K391" s="13"/>
      <c r="M391" s="5"/>
    </row>
    <row r="392">
      <c r="G392" s="5"/>
      <c r="H392" s="5"/>
      <c r="I392" s="5"/>
      <c r="J392" s="13"/>
      <c r="K392" s="13"/>
      <c r="M392" s="5"/>
    </row>
    <row r="393">
      <c r="G393" s="5"/>
      <c r="H393" s="5"/>
      <c r="I393" s="5"/>
      <c r="J393" s="13"/>
      <c r="K393" s="13"/>
      <c r="M393" s="5"/>
    </row>
    <row r="394">
      <c r="G394" s="5"/>
      <c r="H394" s="5"/>
      <c r="I394" s="5"/>
      <c r="J394" s="13"/>
      <c r="K394" s="13"/>
      <c r="M394" s="5"/>
    </row>
    <row r="395">
      <c r="G395" s="5"/>
      <c r="H395" s="5"/>
      <c r="I395" s="5"/>
      <c r="J395" s="13"/>
      <c r="K395" s="13"/>
      <c r="M395" s="5"/>
    </row>
    <row r="396">
      <c r="G396" s="5"/>
      <c r="H396" s="5"/>
      <c r="I396" s="5"/>
      <c r="J396" s="13"/>
      <c r="K396" s="13"/>
      <c r="M396" s="5"/>
    </row>
    <row r="397">
      <c r="G397" s="5"/>
      <c r="H397" s="5"/>
      <c r="I397" s="5"/>
      <c r="J397" s="13"/>
      <c r="K397" s="13"/>
      <c r="M397" s="5"/>
    </row>
    <row r="398">
      <c r="G398" s="5"/>
      <c r="H398" s="5"/>
      <c r="I398" s="5"/>
      <c r="J398" s="13"/>
      <c r="K398" s="13"/>
      <c r="M398" s="5"/>
    </row>
    <row r="399">
      <c r="G399" s="5"/>
      <c r="H399" s="5"/>
      <c r="I399" s="5"/>
      <c r="J399" s="13"/>
      <c r="K399" s="13"/>
      <c r="M399" s="5"/>
    </row>
    <row r="400">
      <c r="G400" s="5"/>
      <c r="H400" s="5"/>
      <c r="I400" s="5"/>
      <c r="J400" s="13"/>
      <c r="K400" s="13"/>
      <c r="M400" s="5"/>
    </row>
    <row r="401">
      <c r="G401" s="5"/>
      <c r="H401" s="5"/>
      <c r="I401" s="5"/>
      <c r="J401" s="13"/>
      <c r="K401" s="13"/>
      <c r="M401" s="5"/>
    </row>
    <row r="402">
      <c r="G402" s="5"/>
      <c r="H402" s="5"/>
      <c r="I402" s="5"/>
      <c r="J402" s="13"/>
      <c r="K402" s="13"/>
      <c r="M402" s="5"/>
    </row>
    <row r="403">
      <c r="G403" s="5"/>
      <c r="H403" s="5"/>
      <c r="I403" s="5"/>
      <c r="J403" s="13"/>
      <c r="K403" s="13"/>
      <c r="M403" s="5"/>
    </row>
    <row r="404">
      <c r="G404" s="5"/>
      <c r="H404" s="5"/>
      <c r="I404" s="5"/>
      <c r="J404" s="13"/>
      <c r="K404" s="13"/>
      <c r="M404" s="5"/>
    </row>
    <row r="405">
      <c r="G405" s="5"/>
      <c r="H405" s="5"/>
      <c r="I405" s="5"/>
      <c r="J405" s="13"/>
      <c r="K405" s="13"/>
      <c r="M405" s="5"/>
    </row>
    <row r="406">
      <c r="G406" s="5"/>
      <c r="H406" s="5"/>
      <c r="I406" s="5"/>
      <c r="J406" s="13"/>
      <c r="K406" s="13"/>
      <c r="M406" s="5"/>
    </row>
    <row r="407">
      <c r="G407" s="5"/>
      <c r="H407" s="5"/>
      <c r="I407" s="5"/>
      <c r="J407" s="13"/>
      <c r="K407" s="13"/>
      <c r="M407" s="5"/>
    </row>
    <row r="408">
      <c r="G408" s="5"/>
      <c r="H408" s="5"/>
      <c r="I408" s="5"/>
      <c r="J408" s="13"/>
      <c r="K408" s="13"/>
      <c r="M408" s="5"/>
    </row>
    <row r="409">
      <c r="G409" s="5"/>
      <c r="H409" s="5"/>
      <c r="I409" s="5"/>
      <c r="J409" s="13"/>
      <c r="K409" s="13"/>
      <c r="M409" s="5"/>
    </row>
    <row r="410">
      <c r="G410" s="5"/>
      <c r="H410" s="5"/>
      <c r="I410" s="5"/>
      <c r="J410" s="13"/>
      <c r="K410" s="13"/>
      <c r="M410" s="5"/>
    </row>
    <row r="411">
      <c r="G411" s="5"/>
      <c r="H411" s="5"/>
      <c r="I411" s="5"/>
      <c r="J411" s="13"/>
      <c r="K411" s="13"/>
      <c r="M411" s="5"/>
    </row>
    <row r="412">
      <c r="G412" s="5"/>
      <c r="H412" s="5"/>
      <c r="I412" s="5"/>
      <c r="J412" s="13"/>
      <c r="K412" s="13"/>
      <c r="M412" s="5"/>
    </row>
    <row r="413">
      <c r="G413" s="5"/>
      <c r="H413" s="5"/>
      <c r="I413" s="5"/>
      <c r="J413" s="13"/>
      <c r="K413" s="13"/>
      <c r="M413" s="5"/>
    </row>
    <row r="414">
      <c r="G414" s="5"/>
      <c r="H414" s="5"/>
      <c r="I414" s="5"/>
      <c r="J414" s="13"/>
      <c r="K414" s="13"/>
      <c r="M414" s="5"/>
    </row>
    <row r="415">
      <c r="G415" s="5"/>
      <c r="H415" s="5"/>
      <c r="I415" s="5"/>
      <c r="J415" s="13"/>
      <c r="K415" s="13"/>
      <c r="M415" s="5"/>
    </row>
    <row r="416">
      <c r="G416" s="5"/>
      <c r="H416" s="5"/>
      <c r="I416" s="5"/>
      <c r="J416" s="13"/>
      <c r="K416" s="13"/>
      <c r="M416" s="5"/>
    </row>
    <row r="417">
      <c r="G417" s="5"/>
      <c r="H417" s="5"/>
      <c r="I417" s="5"/>
      <c r="J417" s="13"/>
      <c r="K417" s="13"/>
      <c r="M417" s="5"/>
    </row>
    <row r="418">
      <c r="G418" s="5"/>
      <c r="H418" s="5"/>
      <c r="I418" s="5"/>
      <c r="J418" s="13"/>
      <c r="K418" s="13"/>
      <c r="M418" s="5"/>
    </row>
    <row r="419">
      <c r="G419" s="5"/>
      <c r="H419" s="5"/>
      <c r="I419" s="5"/>
      <c r="J419" s="13"/>
      <c r="K419" s="13"/>
      <c r="M419" s="5"/>
    </row>
    <row r="420">
      <c r="G420" s="5"/>
      <c r="H420" s="5"/>
      <c r="I420" s="5"/>
      <c r="J420" s="13"/>
      <c r="K420" s="13"/>
      <c r="M420" s="5"/>
    </row>
    <row r="421">
      <c r="G421" s="5"/>
      <c r="H421" s="5"/>
      <c r="I421" s="5"/>
      <c r="J421" s="13"/>
      <c r="K421" s="13"/>
      <c r="M421" s="5"/>
    </row>
    <row r="422">
      <c r="G422" s="5"/>
      <c r="H422" s="5"/>
      <c r="I422" s="5"/>
      <c r="J422" s="13"/>
      <c r="K422" s="13"/>
      <c r="M422" s="5"/>
    </row>
    <row r="423">
      <c r="G423" s="5"/>
      <c r="H423" s="5"/>
      <c r="I423" s="5"/>
      <c r="J423" s="13"/>
      <c r="K423" s="13"/>
      <c r="M423" s="5"/>
    </row>
    <row r="424">
      <c r="G424" s="5"/>
      <c r="H424" s="5"/>
      <c r="I424" s="5"/>
      <c r="J424" s="13"/>
      <c r="K424" s="13"/>
      <c r="M424" s="5"/>
    </row>
    <row r="425">
      <c r="G425" s="5"/>
      <c r="H425" s="5"/>
      <c r="I425" s="5"/>
      <c r="J425" s="13"/>
      <c r="K425" s="13"/>
      <c r="M425" s="5"/>
    </row>
    <row r="426">
      <c r="G426" s="5"/>
      <c r="H426" s="5"/>
      <c r="I426" s="5"/>
      <c r="J426" s="13"/>
      <c r="K426" s="13"/>
      <c r="M426" s="5"/>
    </row>
    <row r="427">
      <c r="G427" s="5"/>
      <c r="H427" s="5"/>
      <c r="I427" s="5"/>
      <c r="J427" s="13"/>
      <c r="K427" s="13"/>
      <c r="M427" s="5"/>
    </row>
    <row r="428">
      <c r="G428" s="5"/>
      <c r="H428" s="5"/>
      <c r="I428" s="5"/>
      <c r="J428" s="13"/>
      <c r="K428" s="13"/>
      <c r="M428" s="5"/>
    </row>
    <row r="429">
      <c r="G429" s="5"/>
      <c r="H429" s="5"/>
      <c r="I429" s="5"/>
      <c r="J429" s="13"/>
      <c r="K429" s="13"/>
      <c r="M429" s="5"/>
    </row>
    <row r="430">
      <c r="G430" s="5"/>
      <c r="H430" s="5"/>
      <c r="I430" s="5"/>
      <c r="J430" s="13"/>
      <c r="K430" s="13"/>
      <c r="M430" s="5"/>
    </row>
    <row r="431">
      <c r="G431" s="5"/>
      <c r="H431" s="5"/>
      <c r="I431" s="5"/>
      <c r="J431" s="13"/>
      <c r="K431" s="13"/>
      <c r="M431" s="5"/>
    </row>
    <row r="432">
      <c r="G432" s="5"/>
      <c r="H432" s="5"/>
      <c r="I432" s="5"/>
      <c r="J432" s="13"/>
      <c r="K432" s="13"/>
      <c r="M432" s="5"/>
    </row>
    <row r="433">
      <c r="G433" s="5"/>
      <c r="H433" s="5"/>
      <c r="I433" s="5"/>
      <c r="J433" s="13"/>
      <c r="K433" s="13"/>
      <c r="M433" s="5"/>
    </row>
    <row r="434">
      <c r="G434" s="5"/>
      <c r="H434" s="5"/>
      <c r="I434" s="5"/>
      <c r="J434" s="13"/>
      <c r="K434" s="13"/>
      <c r="M434" s="5"/>
    </row>
    <row r="435">
      <c r="G435" s="5"/>
      <c r="H435" s="5"/>
      <c r="I435" s="5"/>
      <c r="J435" s="13"/>
      <c r="K435" s="13"/>
      <c r="M435" s="5"/>
    </row>
    <row r="436">
      <c r="G436" s="5"/>
      <c r="H436" s="5"/>
      <c r="I436" s="5"/>
      <c r="J436" s="13"/>
      <c r="K436" s="13"/>
      <c r="M436" s="5"/>
    </row>
    <row r="437">
      <c r="G437" s="5"/>
      <c r="H437" s="5"/>
      <c r="I437" s="5"/>
      <c r="J437" s="13"/>
      <c r="K437" s="13"/>
      <c r="M437" s="5"/>
    </row>
    <row r="438">
      <c r="G438" s="5"/>
      <c r="H438" s="5"/>
      <c r="I438" s="5"/>
      <c r="J438" s="13"/>
      <c r="K438" s="13"/>
      <c r="M438" s="5"/>
    </row>
    <row r="439">
      <c r="G439" s="5"/>
      <c r="H439" s="5"/>
      <c r="I439" s="5"/>
      <c r="J439" s="13"/>
      <c r="K439" s="13"/>
      <c r="M439" s="5"/>
    </row>
    <row r="440">
      <c r="G440" s="5"/>
      <c r="H440" s="5"/>
      <c r="I440" s="5"/>
      <c r="J440" s="13"/>
      <c r="K440" s="13"/>
      <c r="M440" s="5"/>
    </row>
    <row r="441">
      <c r="G441" s="5"/>
      <c r="H441" s="5"/>
      <c r="I441" s="5"/>
      <c r="J441" s="13"/>
      <c r="K441" s="13"/>
      <c r="M441" s="5"/>
    </row>
    <row r="442">
      <c r="G442" s="5"/>
      <c r="H442" s="5"/>
      <c r="I442" s="5"/>
      <c r="J442" s="13"/>
      <c r="K442" s="13"/>
      <c r="M442" s="5"/>
    </row>
    <row r="443">
      <c r="G443" s="5"/>
      <c r="H443" s="5"/>
      <c r="I443" s="5"/>
      <c r="J443" s="13"/>
      <c r="K443" s="13"/>
      <c r="M443" s="5"/>
    </row>
    <row r="444">
      <c r="G444" s="5"/>
      <c r="H444" s="5"/>
      <c r="I444" s="5"/>
      <c r="J444" s="13"/>
      <c r="K444" s="13"/>
      <c r="M444" s="5"/>
    </row>
    <row r="445">
      <c r="G445" s="5"/>
      <c r="H445" s="5"/>
      <c r="I445" s="5"/>
      <c r="J445" s="13"/>
      <c r="K445" s="13"/>
      <c r="M445" s="5"/>
    </row>
    <row r="446">
      <c r="G446" s="5"/>
      <c r="H446" s="5"/>
      <c r="I446" s="5"/>
      <c r="J446" s="13"/>
      <c r="K446" s="13"/>
      <c r="M446" s="5"/>
    </row>
    <row r="447">
      <c r="G447" s="5"/>
      <c r="H447" s="5"/>
      <c r="I447" s="5"/>
      <c r="J447" s="13"/>
      <c r="K447" s="13"/>
      <c r="M447" s="5"/>
    </row>
    <row r="448">
      <c r="G448" s="5"/>
      <c r="H448" s="5"/>
      <c r="I448" s="5"/>
      <c r="J448" s="13"/>
      <c r="K448" s="13"/>
      <c r="M448" s="5"/>
    </row>
    <row r="449">
      <c r="G449" s="5"/>
      <c r="H449" s="5"/>
      <c r="I449" s="5"/>
      <c r="J449" s="13"/>
      <c r="K449" s="13"/>
      <c r="M449" s="5"/>
    </row>
    <row r="450">
      <c r="G450" s="5"/>
      <c r="H450" s="5"/>
      <c r="I450" s="5"/>
      <c r="J450" s="13"/>
      <c r="K450" s="13"/>
      <c r="M450" s="5"/>
    </row>
    <row r="451">
      <c r="G451" s="5"/>
      <c r="H451" s="5"/>
      <c r="I451" s="5"/>
      <c r="J451" s="13"/>
      <c r="K451" s="13"/>
      <c r="M451" s="5"/>
    </row>
    <row r="452">
      <c r="G452" s="5"/>
      <c r="H452" s="5"/>
      <c r="I452" s="5"/>
      <c r="J452" s="13"/>
      <c r="K452" s="13"/>
      <c r="M452" s="5"/>
    </row>
    <row r="453">
      <c r="G453" s="5"/>
      <c r="H453" s="5"/>
      <c r="I453" s="5"/>
      <c r="J453" s="13"/>
      <c r="K453" s="13"/>
      <c r="M453" s="5"/>
    </row>
    <row r="454">
      <c r="G454" s="5"/>
      <c r="H454" s="5"/>
      <c r="I454" s="5"/>
      <c r="J454" s="13"/>
      <c r="K454" s="13"/>
      <c r="M454" s="5"/>
    </row>
    <row r="455">
      <c r="G455" s="5"/>
      <c r="H455" s="5"/>
      <c r="I455" s="5"/>
      <c r="J455" s="13"/>
      <c r="K455" s="13"/>
      <c r="M455" s="5"/>
    </row>
    <row r="456">
      <c r="G456" s="5"/>
      <c r="H456" s="5"/>
      <c r="I456" s="5"/>
      <c r="J456" s="13"/>
      <c r="K456" s="13"/>
      <c r="M456" s="5"/>
    </row>
    <row r="457">
      <c r="G457" s="5"/>
      <c r="H457" s="5"/>
      <c r="I457" s="5"/>
      <c r="J457" s="13"/>
      <c r="K457" s="13"/>
      <c r="M457" s="5"/>
    </row>
    <row r="458">
      <c r="G458" s="5"/>
      <c r="H458" s="5"/>
      <c r="I458" s="5"/>
      <c r="J458" s="13"/>
      <c r="K458" s="13"/>
      <c r="M458" s="5"/>
    </row>
    <row r="459">
      <c r="G459" s="5"/>
      <c r="H459" s="5"/>
      <c r="I459" s="5"/>
      <c r="J459" s="13"/>
      <c r="K459" s="13"/>
      <c r="M459" s="5"/>
    </row>
    <row r="460">
      <c r="G460" s="5"/>
      <c r="H460" s="5"/>
      <c r="I460" s="5"/>
      <c r="J460" s="13"/>
      <c r="K460" s="13"/>
      <c r="M460" s="5"/>
    </row>
    <row r="461">
      <c r="G461" s="5"/>
      <c r="H461" s="5"/>
      <c r="I461" s="5"/>
      <c r="J461" s="13"/>
      <c r="K461" s="13"/>
      <c r="M461" s="5"/>
    </row>
    <row r="462">
      <c r="G462" s="5"/>
      <c r="H462" s="5"/>
      <c r="I462" s="5"/>
      <c r="J462" s="13"/>
      <c r="K462" s="13"/>
      <c r="M462" s="5"/>
    </row>
    <row r="463">
      <c r="G463" s="5"/>
      <c r="H463" s="5"/>
      <c r="I463" s="5"/>
      <c r="J463" s="13"/>
      <c r="K463" s="13"/>
      <c r="M463" s="5"/>
    </row>
    <row r="464">
      <c r="G464" s="5"/>
      <c r="H464" s="5"/>
      <c r="I464" s="5"/>
      <c r="J464" s="13"/>
      <c r="K464" s="13"/>
      <c r="M464" s="5"/>
    </row>
    <row r="465">
      <c r="G465" s="5"/>
      <c r="H465" s="5"/>
      <c r="I465" s="5"/>
      <c r="J465" s="13"/>
      <c r="K465" s="13"/>
      <c r="M465" s="5"/>
    </row>
    <row r="466">
      <c r="G466" s="5"/>
      <c r="H466" s="5"/>
      <c r="I466" s="5"/>
      <c r="J466" s="13"/>
      <c r="K466" s="13"/>
      <c r="M466" s="5"/>
    </row>
    <row r="467">
      <c r="G467" s="5"/>
      <c r="H467" s="5"/>
      <c r="I467" s="5"/>
      <c r="J467" s="13"/>
      <c r="K467" s="13"/>
      <c r="M467" s="5"/>
    </row>
    <row r="468">
      <c r="G468" s="5"/>
      <c r="H468" s="5"/>
      <c r="I468" s="5"/>
      <c r="J468" s="13"/>
      <c r="K468" s="13"/>
      <c r="M468" s="5"/>
    </row>
    <row r="469">
      <c r="G469" s="5"/>
      <c r="H469" s="5"/>
      <c r="I469" s="5"/>
      <c r="J469" s="13"/>
      <c r="K469" s="13"/>
      <c r="M469" s="5"/>
    </row>
    <row r="470">
      <c r="G470" s="5"/>
      <c r="H470" s="5"/>
      <c r="I470" s="5"/>
      <c r="J470" s="13"/>
      <c r="K470" s="13"/>
      <c r="M470" s="5"/>
    </row>
    <row r="471">
      <c r="G471" s="5"/>
      <c r="H471" s="5"/>
      <c r="I471" s="5"/>
      <c r="J471" s="13"/>
      <c r="K471" s="13"/>
      <c r="M471" s="5"/>
    </row>
    <row r="472">
      <c r="G472" s="5"/>
      <c r="H472" s="5"/>
      <c r="I472" s="5"/>
      <c r="J472" s="13"/>
      <c r="K472" s="13"/>
      <c r="M472" s="5"/>
    </row>
    <row r="473">
      <c r="G473" s="5"/>
      <c r="H473" s="5"/>
      <c r="I473" s="5"/>
      <c r="J473" s="13"/>
      <c r="K473" s="13"/>
      <c r="M473" s="5"/>
    </row>
    <row r="474">
      <c r="G474" s="5"/>
      <c r="H474" s="5"/>
      <c r="I474" s="5"/>
      <c r="J474" s="13"/>
      <c r="K474" s="13"/>
      <c r="M474" s="5"/>
    </row>
    <row r="475">
      <c r="G475" s="5"/>
      <c r="H475" s="5"/>
      <c r="I475" s="5"/>
      <c r="J475" s="13"/>
      <c r="K475" s="13"/>
      <c r="M475" s="5"/>
    </row>
    <row r="476">
      <c r="G476" s="5"/>
      <c r="H476" s="5"/>
      <c r="I476" s="5"/>
      <c r="J476" s="13"/>
      <c r="K476" s="13"/>
      <c r="M476" s="5"/>
    </row>
    <row r="477">
      <c r="G477" s="5"/>
      <c r="H477" s="5"/>
      <c r="I477" s="5"/>
      <c r="J477" s="13"/>
      <c r="K477" s="13"/>
      <c r="M477" s="5"/>
    </row>
    <row r="478">
      <c r="G478" s="5"/>
      <c r="H478" s="5"/>
      <c r="I478" s="5"/>
      <c r="J478" s="13"/>
      <c r="K478" s="13"/>
      <c r="M478" s="5"/>
    </row>
    <row r="479">
      <c r="G479" s="5"/>
      <c r="H479" s="5"/>
      <c r="I479" s="5"/>
      <c r="J479" s="13"/>
      <c r="K479" s="13"/>
      <c r="M479" s="5"/>
    </row>
    <row r="480">
      <c r="G480" s="5"/>
      <c r="H480" s="5"/>
      <c r="I480" s="5"/>
      <c r="J480" s="13"/>
      <c r="K480" s="13"/>
      <c r="M480" s="5"/>
    </row>
    <row r="481">
      <c r="G481" s="5"/>
      <c r="H481" s="5"/>
      <c r="I481" s="5"/>
      <c r="J481" s="13"/>
      <c r="K481" s="13"/>
      <c r="M481" s="5"/>
    </row>
    <row r="482">
      <c r="G482" s="5"/>
      <c r="H482" s="5"/>
      <c r="I482" s="5"/>
      <c r="J482" s="13"/>
      <c r="K482" s="13"/>
      <c r="M482" s="5"/>
    </row>
    <row r="483">
      <c r="G483" s="5"/>
      <c r="H483" s="5"/>
      <c r="I483" s="5"/>
      <c r="J483" s="13"/>
      <c r="K483" s="13"/>
      <c r="M483" s="5"/>
    </row>
    <row r="484">
      <c r="G484" s="5"/>
      <c r="H484" s="5"/>
      <c r="I484" s="5"/>
      <c r="J484" s="13"/>
      <c r="K484" s="13"/>
      <c r="M484" s="5"/>
    </row>
    <row r="485">
      <c r="G485" s="5"/>
      <c r="H485" s="5"/>
      <c r="I485" s="5"/>
      <c r="J485" s="13"/>
      <c r="K485" s="13"/>
      <c r="M485" s="5"/>
    </row>
    <row r="486">
      <c r="G486" s="5"/>
      <c r="H486" s="5"/>
      <c r="I486" s="5"/>
      <c r="J486" s="13"/>
      <c r="K486" s="13"/>
      <c r="M486" s="5"/>
    </row>
    <row r="487">
      <c r="G487" s="5"/>
      <c r="H487" s="5"/>
      <c r="I487" s="5"/>
      <c r="J487" s="13"/>
      <c r="K487" s="13"/>
      <c r="M487" s="5"/>
    </row>
    <row r="488">
      <c r="G488" s="5"/>
      <c r="H488" s="5"/>
      <c r="I488" s="5"/>
      <c r="J488" s="13"/>
      <c r="K488" s="13"/>
      <c r="M488" s="5"/>
    </row>
    <row r="489">
      <c r="G489" s="5"/>
      <c r="H489" s="5"/>
      <c r="I489" s="5"/>
      <c r="J489" s="13"/>
      <c r="K489" s="13"/>
      <c r="M489" s="5"/>
    </row>
    <row r="490">
      <c r="G490" s="5"/>
      <c r="H490" s="5"/>
      <c r="I490" s="5"/>
      <c r="J490" s="13"/>
      <c r="K490" s="13"/>
      <c r="M490" s="5"/>
    </row>
    <row r="491">
      <c r="G491" s="5"/>
      <c r="H491" s="5"/>
      <c r="I491" s="5"/>
      <c r="J491" s="13"/>
      <c r="K491" s="13"/>
      <c r="M491" s="5"/>
    </row>
    <row r="492">
      <c r="G492" s="5"/>
      <c r="H492" s="5"/>
      <c r="I492" s="5"/>
      <c r="J492" s="13"/>
      <c r="K492" s="13"/>
      <c r="M492" s="5"/>
    </row>
    <row r="493">
      <c r="G493" s="5"/>
      <c r="H493" s="5"/>
      <c r="I493" s="5"/>
      <c r="J493" s="13"/>
      <c r="K493" s="13"/>
      <c r="M493" s="5"/>
    </row>
    <row r="494">
      <c r="G494" s="5"/>
      <c r="H494" s="5"/>
      <c r="I494" s="5"/>
      <c r="J494" s="13"/>
      <c r="K494" s="13"/>
      <c r="M494" s="5"/>
    </row>
    <row r="495">
      <c r="G495" s="5"/>
      <c r="H495" s="5"/>
      <c r="I495" s="5"/>
      <c r="J495" s="13"/>
      <c r="K495" s="13"/>
      <c r="M495" s="5"/>
    </row>
    <row r="496">
      <c r="G496" s="5"/>
      <c r="H496" s="5"/>
      <c r="I496" s="5"/>
      <c r="J496" s="13"/>
      <c r="K496" s="13"/>
      <c r="M496" s="5"/>
    </row>
    <row r="497">
      <c r="G497" s="5"/>
      <c r="H497" s="5"/>
      <c r="I497" s="5"/>
      <c r="J497" s="13"/>
      <c r="K497" s="13"/>
      <c r="M497" s="5"/>
    </row>
    <row r="498">
      <c r="G498" s="5"/>
      <c r="H498" s="5"/>
      <c r="I498" s="5"/>
      <c r="J498" s="13"/>
      <c r="K498" s="13"/>
      <c r="M498" s="5"/>
    </row>
    <row r="499">
      <c r="G499" s="5"/>
      <c r="H499" s="5"/>
      <c r="I499" s="5"/>
      <c r="J499" s="13"/>
      <c r="K499" s="13"/>
      <c r="M499" s="5"/>
    </row>
    <row r="500">
      <c r="G500" s="5"/>
      <c r="H500" s="5"/>
      <c r="I500" s="5"/>
      <c r="J500" s="13"/>
      <c r="K500" s="13"/>
      <c r="M500" s="5"/>
    </row>
    <row r="501">
      <c r="G501" s="5"/>
      <c r="H501" s="5"/>
      <c r="I501" s="5"/>
      <c r="J501" s="13"/>
      <c r="K501" s="13"/>
      <c r="M501" s="5"/>
    </row>
    <row r="502">
      <c r="G502" s="5"/>
      <c r="H502" s="5"/>
      <c r="I502" s="5"/>
      <c r="J502" s="13"/>
      <c r="K502" s="13"/>
      <c r="M502" s="5"/>
    </row>
    <row r="503">
      <c r="G503" s="5"/>
      <c r="H503" s="5"/>
      <c r="I503" s="5"/>
      <c r="J503" s="13"/>
      <c r="K503" s="13"/>
      <c r="M503" s="5"/>
    </row>
    <row r="504">
      <c r="G504" s="5"/>
      <c r="H504" s="5"/>
      <c r="I504" s="5"/>
      <c r="J504" s="13"/>
      <c r="K504" s="13"/>
      <c r="M504" s="5"/>
    </row>
    <row r="505">
      <c r="G505" s="5"/>
      <c r="H505" s="5"/>
      <c r="I505" s="5"/>
      <c r="J505" s="13"/>
      <c r="K505" s="13"/>
      <c r="M505" s="5"/>
    </row>
    <row r="506">
      <c r="G506" s="5"/>
      <c r="H506" s="5"/>
      <c r="I506" s="5"/>
      <c r="J506" s="13"/>
      <c r="K506" s="13"/>
      <c r="M506" s="5"/>
    </row>
    <row r="507">
      <c r="G507" s="5"/>
      <c r="H507" s="5"/>
      <c r="I507" s="5"/>
      <c r="J507" s="13"/>
      <c r="K507" s="13"/>
      <c r="M507" s="5"/>
    </row>
    <row r="508">
      <c r="G508" s="5"/>
      <c r="H508" s="5"/>
      <c r="I508" s="5"/>
      <c r="J508" s="13"/>
      <c r="K508" s="13"/>
      <c r="M508" s="5"/>
    </row>
    <row r="509">
      <c r="G509" s="5"/>
      <c r="H509" s="5"/>
      <c r="I509" s="5"/>
      <c r="J509" s="13"/>
      <c r="K509" s="13"/>
      <c r="M509" s="5"/>
    </row>
    <row r="510">
      <c r="G510" s="5"/>
      <c r="H510" s="5"/>
      <c r="I510" s="5"/>
      <c r="J510" s="13"/>
      <c r="K510" s="13"/>
      <c r="M510" s="5"/>
    </row>
    <row r="511">
      <c r="G511" s="5"/>
      <c r="H511" s="5"/>
      <c r="I511" s="5"/>
      <c r="J511" s="13"/>
      <c r="K511" s="13"/>
      <c r="M511" s="5"/>
    </row>
    <row r="512">
      <c r="G512" s="5"/>
      <c r="H512" s="5"/>
      <c r="I512" s="5"/>
      <c r="J512" s="13"/>
      <c r="K512" s="13"/>
      <c r="M512" s="5"/>
    </row>
    <row r="513">
      <c r="G513" s="5"/>
      <c r="H513" s="5"/>
      <c r="I513" s="5"/>
      <c r="J513" s="13"/>
      <c r="K513" s="13"/>
      <c r="M513" s="5"/>
    </row>
    <row r="514">
      <c r="G514" s="5"/>
      <c r="H514" s="5"/>
      <c r="I514" s="5"/>
      <c r="J514" s="13"/>
      <c r="K514" s="13"/>
      <c r="M514" s="5"/>
    </row>
    <row r="515">
      <c r="G515" s="5"/>
      <c r="H515" s="5"/>
      <c r="I515" s="5"/>
      <c r="J515" s="13"/>
      <c r="K515" s="13"/>
      <c r="M515" s="5"/>
    </row>
    <row r="516">
      <c r="G516" s="5"/>
      <c r="H516" s="5"/>
      <c r="I516" s="5"/>
      <c r="J516" s="13"/>
      <c r="K516" s="13"/>
      <c r="M516" s="5"/>
    </row>
    <row r="517">
      <c r="G517" s="5"/>
      <c r="H517" s="5"/>
      <c r="I517" s="5"/>
      <c r="J517" s="13"/>
      <c r="K517" s="13"/>
      <c r="M517" s="5"/>
    </row>
    <row r="518">
      <c r="G518" s="5"/>
      <c r="H518" s="5"/>
      <c r="I518" s="5"/>
      <c r="J518" s="13"/>
      <c r="K518" s="13"/>
      <c r="M518" s="5"/>
    </row>
    <row r="519">
      <c r="G519" s="5"/>
      <c r="H519" s="5"/>
      <c r="I519" s="5"/>
      <c r="J519" s="13"/>
      <c r="K519" s="13"/>
      <c r="M519" s="5"/>
    </row>
    <row r="520">
      <c r="G520" s="5"/>
      <c r="H520" s="5"/>
      <c r="I520" s="5"/>
      <c r="J520" s="13"/>
      <c r="K520" s="13"/>
      <c r="M520" s="5"/>
    </row>
    <row r="521">
      <c r="G521" s="5"/>
      <c r="H521" s="5"/>
      <c r="I521" s="5"/>
      <c r="J521" s="13"/>
      <c r="K521" s="13"/>
      <c r="M521" s="5"/>
    </row>
    <row r="522">
      <c r="G522" s="5"/>
      <c r="H522" s="5"/>
      <c r="I522" s="5"/>
      <c r="J522" s="13"/>
      <c r="K522" s="13"/>
      <c r="M522" s="5"/>
    </row>
    <row r="523">
      <c r="G523" s="5"/>
      <c r="H523" s="5"/>
      <c r="I523" s="5"/>
      <c r="J523" s="13"/>
      <c r="K523" s="13"/>
      <c r="M523" s="5"/>
    </row>
    <row r="524">
      <c r="G524" s="5"/>
      <c r="H524" s="5"/>
      <c r="I524" s="5"/>
      <c r="J524" s="13"/>
      <c r="K524" s="13"/>
      <c r="M524" s="5"/>
    </row>
    <row r="525">
      <c r="G525" s="5"/>
      <c r="H525" s="5"/>
      <c r="I525" s="5"/>
      <c r="J525" s="13"/>
      <c r="K525" s="13"/>
      <c r="M525" s="5"/>
    </row>
    <row r="526">
      <c r="G526" s="5"/>
      <c r="H526" s="5"/>
      <c r="I526" s="5"/>
      <c r="J526" s="13"/>
      <c r="K526" s="13"/>
      <c r="M526" s="5"/>
    </row>
    <row r="527">
      <c r="G527" s="5"/>
      <c r="H527" s="5"/>
      <c r="I527" s="5"/>
      <c r="J527" s="13"/>
      <c r="K527" s="13"/>
      <c r="M527" s="5"/>
    </row>
    <row r="528">
      <c r="G528" s="5"/>
      <c r="H528" s="5"/>
      <c r="I528" s="5"/>
      <c r="J528" s="13"/>
      <c r="K528" s="13"/>
      <c r="M528" s="5"/>
    </row>
    <row r="529">
      <c r="G529" s="5"/>
      <c r="H529" s="5"/>
      <c r="I529" s="5"/>
      <c r="J529" s="13"/>
      <c r="K529" s="13"/>
      <c r="M529" s="5"/>
    </row>
    <row r="530">
      <c r="G530" s="5"/>
      <c r="H530" s="5"/>
      <c r="I530" s="5"/>
      <c r="J530" s="13"/>
      <c r="K530" s="13"/>
      <c r="M530" s="5"/>
    </row>
    <row r="531">
      <c r="G531" s="5"/>
      <c r="H531" s="5"/>
      <c r="I531" s="5"/>
      <c r="J531" s="13"/>
      <c r="K531" s="13"/>
      <c r="M531" s="5"/>
    </row>
    <row r="532">
      <c r="G532" s="5"/>
      <c r="H532" s="5"/>
      <c r="I532" s="5"/>
      <c r="J532" s="13"/>
      <c r="K532" s="13"/>
      <c r="M532" s="5"/>
    </row>
    <row r="533">
      <c r="G533" s="5"/>
      <c r="H533" s="5"/>
      <c r="I533" s="5"/>
      <c r="J533" s="13"/>
      <c r="K533" s="13"/>
      <c r="M533" s="5"/>
    </row>
    <row r="534">
      <c r="G534" s="5"/>
      <c r="H534" s="5"/>
      <c r="I534" s="5"/>
      <c r="J534" s="13"/>
      <c r="K534" s="13"/>
      <c r="M534" s="5"/>
    </row>
    <row r="535">
      <c r="G535" s="5"/>
      <c r="H535" s="5"/>
      <c r="I535" s="5"/>
      <c r="J535" s="13"/>
      <c r="K535" s="13"/>
      <c r="M535" s="5"/>
    </row>
    <row r="536">
      <c r="G536" s="5"/>
      <c r="H536" s="5"/>
      <c r="I536" s="5"/>
      <c r="J536" s="13"/>
      <c r="K536" s="13"/>
      <c r="M536" s="5"/>
    </row>
    <row r="537">
      <c r="G537" s="5"/>
      <c r="H537" s="5"/>
      <c r="I537" s="5"/>
      <c r="J537" s="13"/>
      <c r="K537" s="13"/>
      <c r="M537" s="5"/>
    </row>
    <row r="538">
      <c r="G538" s="5"/>
      <c r="H538" s="5"/>
      <c r="I538" s="5"/>
      <c r="J538" s="13"/>
      <c r="K538" s="13"/>
      <c r="M538" s="5"/>
    </row>
    <row r="539">
      <c r="G539" s="5"/>
      <c r="H539" s="5"/>
      <c r="I539" s="5"/>
      <c r="J539" s="13"/>
      <c r="K539" s="13"/>
      <c r="M539" s="5"/>
    </row>
    <row r="540">
      <c r="G540" s="5"/>
      <c r="H540" s="5"/>
      <c r="I540" s="5"/>
      <c r="J540" s="13"/>
      <c r="K540" s="13"/>
      <c r="M540" s="5"/>
    </row>
    <row r="541">
      <c r="G541" s="5"/>
      <c r="H541" s="5"/>
      <c r="I541" s="5"/>
      <c r="J541" s="13"/>
      <c r="K541" s="13"/>
      <c r="M541" s="5"/>
    </row>
    <row r="542">
      <c r="G542" s="5"/>
      <c r="H542" s="5"/>
      <c r="I542" s="5"/>
      <c r="J542" s="13"/>
      <c r="K542" s="13"/>
      <c r="M542" s="5"/>
    </row>
    <row r="543">
      <c r="G543" s="5"/>
      <c r="H543" s="5"/>
      <c r="I543" s="5"/>
      <c r="J543" s="13"/>
      <c r="K543" s="13"/>
      <c r="M543" s="5"/>
    </row>
    <row r="544">
      <c r="G544" s="5"/>
      <c r="H544" s="5"/>
      <c r="I544" s="5"/>
      <c r="J544" s="13"/>
      <c r="K544" s="13"/>
      <c r="M544" s="5"/>
    </row>
    <row r="545">
      <c r="G545" s="5"/>
      <c r="H545" s="5"/>
      <c r="I545" s="5"/>
      <c r="J545" s="13"/>
      <c r="K545" s="13"/>
      <c r="M545" s="5"/>
    </row>
    <row r="546">
      <c r="G546" s="5"/>
      <c r="H546" s="5"/>
      <c r="I546" s="5"/>
      <c r="J546" s="13"/>
      <c r="K546" s="13"/>
      <c r="M546" s="5"/>
    </row>
    <row r="547">
      <c r="G547" s="5"/>
      <c r="H547" s="5"/>
      <c r="I547" s="5"/>
      <c r="J547" s="13"/>
      <c r="K547" s="13"/>
      <c r="M547" s="5"/>
    </row>
    <row r="548">
      <c r="G548" s="5"/>
      <c r="H548" s="5"/>
      <c r="I548" s="5"/>
      <c r="J548" s="13"/>
      <c r="K548" s="13"/>
      <c r="M548" s="5"/>
    </row>
    <row r="549">
      <c r="G549" s="5"/>
      <c r="H549" s="5"/>
      <c r="I549" s="5"/>
      <c r="J549" s="13"/>
      <c r="K549" s="13"/>
      <c r="M549" s="5"/>
    </row>
    <row r="550">
      <c r="G550" s="5"/>
      <c r="H550" s="5"/>
      <c r="I550" s="5"/>
      <c r="J550" s="13"/>
      <c r="K550" s="13"/>
      <c r="M550" s="5"/>
    </row>
    <row r="551">
      <c r="G551" s="5"/>
      <c r="H551" s="5"/>
      <c r="I551" s="5"/>
      <c r="J551" s="13"/>
      <c r="K551" s="13"/>
      <c r="M551" s="5"/>
    </row>
    <row r="552">
      <c r="G552" s="5"/>
      <c r="H552" s="5"/>
      <c r="I552" s="5"/>
      <c r="J552" s="13"/>
      <c r="K552" s="13"/>
      <c r="M552" s="5"/>
    </row>
    <row r="553">
      <c r="G553" s="5"/>
      <c r="H553" s="5"/>
      <c r="I553" s="5"/>
      <c r="J553" s="13"/>
      <c r="K553" s="13"/>
      <c r="M553" s="5"/>
    </row>
    <row r="554">
      <c r="G554" s="5"/>
      <c r="H554" s="5"/>
      <c r="I554" s="5"/>
      <c r="J554" s="13"/>
      <c r="K554" s="13"/>
      <c r="M554" s="5"/>
    </row>
    <row r="555">
      <c r="G555" s="5"/>
      <c r="H555" s="5"/>
      <c r="I555" s="5"/>
      <c r="J555" s="13"/>
      <c r="K555" s="13"/>
      <c r="M555" s="5"/>
    </row>
    <row r="556">
      <c r="G556" s="5"/>
      <c r="H556" s="5"/>
      <c r="I556" s="5"/>
      <c r="J556" s="13"/>
      <c r="K556" s="13"/>
      <c r="M556" s="5"/>
    </row>
    <row r="557">
      <c r="G557" s="5"/>
      <c r="H557" s="5"/>
      <c r="I557" s="5"/>
      <c r="J557" s="13"/>
      <c r="K557" s="13"/>
      <c r="M557" s="5"/>
    </row>
    <row r="558">
      <c r="G558" s="5"/>
      <c r="H558" s="5"/>
      <c r="I558" s="5"/>
      <c r="J558" s="13"/>
      <c r="K558" s="13"/>
      <c r="M558" s="5"/>
    </row>
    <row r="559">
      <c r="G559" s="5"/>
      <c r="H559" s="5"/>
      <c r="I559" s="5"/>
      <c r="J559" s="13"/>
      <c r="K559" s="13"/>
      <c r="M559" s="5"/>
    </row>
    <row r="560">
      <c r="G560" s="5"/>
      <c r="H560" s="5"/>
      <c r="I560" s="5"/>
      <c r="J560" s="13"/>
      <c r="K560" s="13"/>
      <c r="M560" s="5"/>
    </row>
    <row r="561">
      <c r="G561" s="5"/>
      <c r="H561" s="5"/>
      <c r="I561" s="5"/>
      <c r="J561" s="13"/>
      <c r="K561" s="13"/>
      <c r="M561" s="5"/>
    </row>
    <row r="562">
      <c r="G562" s="5"/>
      <c r="H562" s="5"/>
      <c r="I562" s="5"/>
      <c r="J562" s="13"/>
      <c r="K562" s="13"/>
      <c r="M562" s="5"/>
    </row>
    <row r="563">
      <c r="G563" s="5"/>
      <c r="H563" s="5"/>
      <c r="I563" s="5"/>
      <c r="J563" s="13"/>
      <c r="K563" s="13"/>
      <c r="M563" s="5"/>
    </row>
    <row r="564">
      <c r="G564" s="5"/>
      <c r="H564" s="5"/>
      <c r="I564" s="5"/>
      <c r="J564" s="13"/>
      <c r="K564" s="13"/>
      <c r="M564" s="5"/>
    </row>
    <row r="565">
      <c r="G565" s="5"/>
      <c r="H565" s="5"/>
      <c r="I565" s="5"/>
      <c r="J565" s="13"/>
      <c r="K565" s="13"/>
      <c r="M565" s="5"/>
    </row>
    <row r="566">
      <c r="G566" s="5"/>
      <c r="H566" s="5"/>
      <c r="I566" s="5"/>
      <c r="J566" s="13"/>
      <c r="K566" s="13"/>
      <c r="M566" s="5"/>
    </row>
    <row r="567">
      <c r="G567" s="5"/>
      <c r="H567" s="5"/>
      <c r="I567" s="5"/>
      <c r="J567" s="13"/>
      <c r="K567" s="13"/>
      <c r="M567" s="5"/>
    </row>
    <row r="568">
      <c r="G568" s="5"/>
      <c r="H568" s="5"/>
      <c r="I568" s="5"/>
      <c r="J568" s="13"/>
      <c r="K568" s="13"/>
      <c r="M568" s="5"/>
    </row>
    <row r="569">
      <c r="G569" s="5"/>
      <c r="H569" s="5"/>
      <c r="I569" s="5"/>
      <c r="J569" s="13"/>
      <c r="K569" s="13"/>
      <c r="M569" s="5"/>
    </row>
    <row r="570">
      <c r="G570" s="5"/>
      <c r="H570" s="5"/>
      <c r="I570" s="5"/>
      <c r="J570" s="13"/>
      <c r="K570" s="13"/>
      <c r="M570" s="5"/>
    </row>
    <row r="571">
      <c r="G571" s="5"/>
      <c r="H571" s="5"/>
      <c r="I571" s="5"/>
      <c r="J571" s="13"/>
      <c r="K571" s="13"/>
      <c r="M571" s="5"/>
    </row>
    <row r="572">
      <c r="G572" s="5"/>
      <c r="H572" s="5"/>
      <c r="I572" s="5"/>
      <c r="J572" s="13"/>
      <c r="K572" s="13"/>
      <c r="M572" s="5"/>
    </row>
    <row r="573">
      <c r="G573" s="5"/>
      <c r="H573" s="5"/>
      <c r="I573" s="5"/>
      <c r="J573" s="13"/>
      <c r="K573" s="13"/>
      <c r="M573" s="5"/>
    </row>
    <row r="574">
      <c r="G574" s="5"/>
      <c r="H574" s="5"/>
      <c r="I574" s="5"/>
      <c r="J574" s="13"/>
      <c r="K574" s="13"/>
      <c r="M574" s="5"/>
    </row>
    <row r="575">
      <c r="G575" s="5"/>
      <c r="H575" s="5"/>
      <c r="I575" s="5"/>
      <c r="J575" s="13"/>
      <c r="K575" s="13"/>
      <c r="M575" s="5"/>
    </row>
    <row r="576">
      <c r="G576" s="5"/>
      <c r="H576" s="5"/>
      <c r="I576" s="5"/>
      <c r="J576" s="13"/>
      <c r="K576" s="13"/>
      <c r="M576" s="5"/>
    </row>
    <row r="577">
      <c r="G577" s="5"/>
      <c r="H577" s="5"/>
      <c r="I577" s="5"/>
      <c r="J577" s="13"/>
      <c r="K577" s="13"/>
      <c r="M577" s="5"/>
    </row>
    <row r="578">
      <c r="G578" s="5"/>
      <c r="H578" s="5"/>
      <c r="I578" s="5"/>
      <c r="J578" s="13"/>
      <c r="K578" s="13"/>
      <c r="M578" s="5"/>
    </row>
    <row r="579">
      <c r="G579" s="5"/>
      <c r="H579" s="5"/>
      <c r="I579" s="5"/>
      <c r="J579" s="13"/>
      <c r="K579" s="13"/>
      <c r="M579" s="5"/>
    </row>
    <row r="580">
      <c r="G580" s="5"/>
      <c r="H580" s="5"/>
      <c r="I580" s="5"/>
      <c r="J580" s="13"/>
      <c r="K580" s="13"/>
      <c r="M580" s="5"/>
    </row>
    <row r="581">
      <c r="G581" s="5"/>
      <c r="H581" s="5"/>
      <c r="I581" s="5"/>
      <c r="J581" s="13"/>
      <c r="K581" s="13"/>
      <c r="M581" s="5"/>
    </row>
    <row r="582">
      <c r="G582" s="5"/>
      <c r="H582" s="5"/>
      <c r="I582" s="5"/>
      <c r="J582" s="13"/>
      <c r="K582" s="13"/>
      <c r="M582" s="5"/>
    </row>
    <row r="583">
      <c r="G583" s="5"/>
      <c r="H583" s="5"/>
      <c r="I583" s="5"/>
      <c r="J583" s="13"/>
      <c r="K583" s="13"/>
      <c r="M583" s="5"/>
    </row>
    <row r="584">
      <c r="G584" s="5"/>
      <c r="H584" s="5"/>
      <c r="I584" s="5"/>
      <c r="J584" s="13"/>
      <c r="K584" s="13"/>
      <c r="M584" s="5"/>
    </row>
    <row r="585">
      <c r="G585" s="5"/>
      <c r="H585" s="5"/>
      <c r="I585" s="5"/>
      <c r="J585" s="13"/>
      <c r="K585" s="13"/>
      <c r="M585" s="5"/>
    </row>
    <row r="586">
      <c r="G586" s="5"/>
      <c r="H586" s="5"/>
      <c r="I586" s="5"/>
      <c r="J586" s="13"/>
      <c r="K586" s="13"/>
      <c r="M586" s="5"/>
    </row>
    <row r="587">
      <c r="G587" s="5"/>
      <c r="H587" s="5"/>
      <c r="I587" s="5"/>
      <c r="J587" s="13"/>
      <c r="K587" s="13"/>
      <c r="M587" s="5"/>
    </row>
    <row r="588">
      <c r="G588" s="5"/>
      <c r="H588" s="5"/>
      <c r="I588" s="5"/>
      <c r="J588" s="13"/>
      <c r="K588" s="13"/>
      <c r="M588" s="5"/>
    </row>
    <row r="589">
      <c r="G589" s="5"/>
      <c r="H589" s="5"/>
      <c r="I589" s="5"/>
      <c r="J589" s="13"/>
      <c r="K589" s="13"/>
      <c r="M589" s="5"/>
    </row>
    <row r="590">
      <c r="G590" s="5"/>
      <c r="H590" s="5"/>
      <c r="I590" s="5"/>
      <c r="J590" s="13"/>
      <c r="K590" s="13"/>
      <c r="M590" s="5"/>
    </row>
    <row r="591">
      <c r="G591" s="5"/>
      <c r="H591" s="5"/>
      <c r="I591" s="5"/>
      <c r="J591" s="13"/>
      <c r="K591" s="13"/>
      <c r="M591" s="5"/>
    </row>
    <row r="592">
      <c r="G592" s="5"/>
      <c r="H592" s="5"/>
      <c r="I592" s="5"/>
      <c r="J592" s="13"/>
      <c r="K592" s="13"/>
      <c r="M592" s="5"/>
    </row>
    <row r="593">
      <c r="G593" s="5"/>
      <c r="H593" s="5"/>
      <c r="I593" s="5"/>
      <c r="J593" s="13"/>
      <c r="K593" s="13"/>
      <c r="M593" s="5"/>
    </row>
    <row r="594">
      <c r="G594" s="5"/>
      <c r="H594" s="5"/>
      <c r="I594" s="5"/>
      <c r="J594" s="13"/>
      <c r="K594" s="13"/>
      <c r="M594" s="5"/>
    </row>
    <row r="595">
      <c r="G595" s="5"/>
      <c r="H595" s="5"/>
      <c r="I595" s="5"/>
      <c r="J595" s="13"/>
      <c r="K595" s="13"/>
      <c r="M595" s="5"/>
    </row>
    <row r="596">
      <c r="G596" s="5"/>
      <c r="H596" s="5"/>
      <c r="I596" s="5"/>
      <c r="J596" s="13"/>
      <c r="K596" s="13"/>
      <c r="M596" s="5"/>
    </row>
    <row r="597">
      <c r="G597" s="5"/>
      <c r="H597" s="5"/>
      <c r="I597" s="5"/>
      <c r="J597" s="13"/>
      <c r="K597" s="13"/>
      <c r="M597" s="5"/>
    </row>
    <row r="598">
      <c r="G598" s="5"/>
      <c r="H598" s="5"/>
      <c r="I598" s="5"/>
      <c r="J598" s="13"/>
      <c r="K598" s="13"/>
      <c r="M598" s="5"/>
    </row>
    <row r="599">
      <c r="G599" s="5"/>
      <c r="H599" s="5"/>
      <c r="I599" s="5"/>
      <c r="J599" s="13"/>
      <c r="K599" s="13"/>
      <c r="M599" s="5"/>
    </row>
    <row r="600">
      <c r="G600" s="5"/>
      <c r="H600" s="5"/>
      <c r="I600" s="5"/>
      <c r="J600" s="13"/>
      <c r="K600" s="13"/>
      <c r="M600" s="5"/>
    </row>
    <row r="601">
      <c r="G601" s="5"/>
      <c r="H601" s="5"/>
      <c r="I601" s="5"/>
      <c r="J601" s="13"/>
      <c r="K601" s="13"/>
      <c r="M601" s="5"/>
    </row>
    <row r="602">
      <c r="G602" s="5"/>
      <c r="H602" s="5"/>
      <c r="I602" s="5"/>
      <c r="J602" s="13"/>
      <c r="K602" s="13"/>
      <c r="M602" s="5"/>
    </row>
    <row r="603">
      <c r="G603" s="5"/>
      <c r="H603" s="5"/>
      <c r="I603" s="5"/>
      <c r="J603" s="13"/>
      <c r="K603" s="13"/>
      <c r="M603" s="5"/>
    </row>
    <row r="604">
      <c r="G604" s="5"/>
      <c r="H604" s="5"/>
      <c r="I604" s="5"/>
      <c r="J604" s="13"/>
      <c r="K604" s="13"/>
      <c r="M604" s="5"/>
    </row>
    <row r="605">
      <c r="G605" s="5"/>
      <c r="H605" s="5"/>
      <c r="I605" s="5"/>
      <c r="J605" s="13"/>
      <c r="K605" s="13"/>
      <c r="M605" s="5"/>
    </row>
    <row r="606">
      <c r="G606" s="5"/>
      <c r="H606" s="5"/>
      <c r="I606" s="5"/>
      <c r="J606" s="13"/>
      <c r="K606" s="13"/>
      <c r="M606" s="5"/>
    </row>
    <row r="607">
      <c r="G607" s="5"/>
      <c r="H607" s="5"/>
      <c r="I607" s="5"/>
      <c r="J607" s="13"/>
      <c r="K607" s="13"/>
      <c r="M607" s="5"/>
    </row>
    <row r="608">
      <c r="G608" s="5"/>
      <c r="H608" s="5"/>
      <c r="I608" s="5"/>
      <c r="J608" s="13"/>
      <c r="K608" s="13"/>
      <c r="M608" s="5"/>
    </row>
    <row r="609">
      <c r="G609" s="5"/>
      <c r="H609" s="5"/>
      <c r="I609" s="5"/>
      <c r="J609" s="13"/>
      <c r="K609" s="13"/>
      <c r="M609" s="5"/>
    </row>
    <row r="610">
      <c r="G610" s="5"/>
      <c r="H610" s="5"/>
      <c r="I610" s="5"/>
      <c r="J610" s="13"/>
      <c r="K610" s="13"/>
      <c r="M610" s="5"/>
    </row>
    <row r="611">
      <c r="G611" s="5"/>
      <c r="H611" s="5"/>
      <c r="I611" s="5"/>
      <c r="J611" s="13"/>
      <c r="K611" s="13"/>
      <c r="M611" s="5"/>
    </row>
    <row r="612">
      <c r="G612" s="5"/>
      <c r="H612" s="5"/>
      <c r="I612" s="5"/>
      <c r="J612" s="13"/>
      <c r="K612" s="13"/>
      <c r="M612" s="5"/>
    </row>
    <row r="613">
      <c r="G613" s="5"/>
      <c r="H613" s="5"/>
      <c r="I613" s="5"/>
      <c r="J613" s="13"/>
      <c r="K613" s="13"/>
      <c r="M613" s="5"/>
    </row>
    <row r="614">
      <c r="G614" s="5"/>
      <c r="H614" s="5"/>
      <c r="I614" s="5"/>
      <c r="J614" s="13"/>
      <c r="K614" s="13"/>
      <c r="M614" s="5"/>
    </row>
    <row r="615">
      <c r="G615" s="5"/>
      <c r="H615" s="5"/>
      <c r="I615" s="5"/>
      <c r="J615" s="13"/>
      <c r="K615" s="13"/>
      <c r="M615" s="5"/>
    </row>
    <row r="616">
      <c r="G616" s="5"/>
      <c r="H616" s="5"/>
      <c r="I616" s="5"/>
      <c r="J616" s="13"/>
      <c r="K616" s="13"/>
      <c r="M616" s="5"/>
    </row>
    <row r="617">
      <c r="G617" s="5"/>
      <c r="H617" s="5"/>
      <c r="I617" s="5"/>
      <c r="J617" s="13"/>
      <c r="K617" s="13"/>
      <c r="M617" s="5"/>
    </row>
    <row r="618">
      <c r="G618" s="5"/>
      <c r="H618" s="5"/>
      <c r="I618" s="5"/>
      <c r="J618" s="13"/>
      <c r="K618" s="13"/>
      <c r="M618" s="5"/>
    </row>
    <row r="619">
      <c r="G619" s="5"/>
      <c r="H619" s="5"/>
      <c r="I619" s="5"/>
      <c r="J619" s="13"/>
      <c r="K619" s="13"/>
      <c r="M619" s="5"/>
    </row>
    <row r="620">
      <c r="G620" s="5"/>
      <c r="H620" s="5"/>
      <c r="I620" s="5"/>
      <c r="J620" s="13"/>
      <c r="K620" s="13"/>
      <c r="M620" s="5"/>
    </row>
    <row r="621">
      <c r="G621" s="5"/>
      <c r="H621" s="5"/>
      <c r="I621" s="5"/>
      <c r="J621" s="13"/>
      <c r="K621" s="13"/>
      <c r="M621" s="5"/>
    </row>
    <row r="622">
      <c r="G622" s="5"/>
      <c r="H622" s="5"/>
      <c r="I622" s="5"/>
      <c r="J622" s="13"/>
      <c r="K622" s="13"/>
      <c r="M622" s="5"/>
    </row>
    <row r="623">
      <c r="G623" s="5"/>
      <c r="H623" s="5"/>
      <c r="I623" s="5"/>
      <c r="J623" s="13"/>
      <c r="K623" s="13"/>
      <c r="M623" s="5"/>
    </row>
    <row r="624">
      <c r="G624" s="5"/>
      <c r="H624" s="5"/>
      <c r="I624" s="5"/>
      <c r="J624" s="13"/>
      <c r="K624" s="13"/>
      <c r="M624" s="5"/>
    </row>
    <row r="625">
      <c r="G625" s="5"/>
      <c r="H625" s="5"/>
      <c r="I625" s="5"/>
      <c r="J625" s="13"/>
      <c r="K625" s="13"/>
      <c r="M625" s="5"/>
    </row>
    <row r="626">
      <c r="G626" s="5"/>
      <c r="H626" s="5"/>
      <c r="I626" s="5"/>
      <c r="J626" s="13"/>
      <c r="K626" s="13"/>
      <c r="M626" s="5"/>
    </row>
    <row r="627">
      <c r="G627" s="5"/>
      <c r="H627" s="5"/>
      <c r="I627" s="5"/>
      <c r="J627" s="13"/>
      <c r="K627" s="13"/>
      <c r="M627" s="5"/>
    </row>
    <row r="628">
      <c r="G628" s="5"/>
      <c r="H628" s="5"/>
      <c r="I628" s="5"/>
      <c r="J628" s="13"/>
      <c r="K628" s="13"/>
      <c r="M628" s="5"/>
    </row>
    <row r="629">
      <c r="G629" s="5"/>
      <c r="H629" s="5"/>
      <c r="I629" s="5"/>
      <c r="J629" s="13"/>
      <c r="K629" s="13"/>
      <c r="M629" s="5"/>
    </row>
    <row r="630">
      <c r="G630" s="5"/>
      <c r="H630" s="5"/>
      <c r="I630" s="5"/>
      <c r="J630" s="13"/>
      <c r="K630" s="13"/>
      <c r="M630" s="5"/>
    </row>
    <row r="631">
      <c r="G631" s="5"/>
      <c r="H631" s="5"/>
      <c r="I631" s="5"/>
      <c r="J631" s="13"/>
      <c r="K631" s="13"/>
      <c r="M631" s="5"/>
    </row>
    <row r="632">
      <c r="G632" s="5"/>
      <c r="H632" s="5"/>
      <c r="I632" s="5"/>
      <c r="J632" s="13"/>
      <c r="K632" s="13"/>
      <c r="M632" s="5"/>
    </row>
    <row r="633">
      <c r="G633" s="5"/>
      <c r="H633" s="5"/>
      <c r="I633" s="5"/>
      <c r="J633" s="13"/>
      <c r="K633" s="13"/>
      <c r="M633" s="5"/>
    </row>
    <row r="634">
      <c r="G634" s="5"/>
      <c r="H634" s="5"/>
      <c r="I634" s="5"/>
      <c r="J634" s="13"/>
      <c r="K634" s="13"/>
      <c r="M634" s="5"/>
    </row>
    <row r="635">
      <c r="G635" s="5"/>
      <c r="H635" s="5"/>
      <c r="I635" s="5"/>
      <c r="J635" s="13"/>
      <c r="K635" s="13"/>
      <c r="M635" s="5"/>
    </row>
    <row r="636">
      <c r="G636" s="5"/>
      <c r="H636" s="5"/>
      <c r="I636" s="5"/>
      <c r="J636" s="13"/>
      <c r="K636" s="13"/>
      <c r="M636" s="5"/>
    </row>
    <row r="637">
      <c r="G637" s="5"/>
      <c r="H637" s="5"/>
      <c r="I637" s="5"/>
      <c r="J637" s="13"/>
      <c r="K637" s="13"/>
      <c r="M637" s="5"/>
    </row>
    <row r="638">
      <c r="G638" s="5"/>
      <c r="H638" s="5"/>
      <c r="I638" s="5"/>
      <c r="J638" s="13"/>
      <c r="K638" s="13"/>
      <c r="M638" s="5"/>
    </row>
    <row r="639">
      <c r="G639" s="5"/>
      <c r="H639" s="5"/>
      <c r="I639" s="5"/>
      <c r="J639" s="13"/>
      <c r="K639" s="13"/>
      <c r="M639" s="5"/>
    </row>
    <row r="640">
      <c r="G640" s="5"/>
      <c r="H640" s="5"/>
      <c r="I640" s="5"/>
      <c r="J640" s="13"/>
      <c r="K640" s="13"/>
      <c r="M640" s="5"/>
    </row>
    <row r="641">
      <c r="G641" s="5"/>
      <c r="H641" s="5"/>
      <c r="I641" s="5"/>
      <c r="J641" s="13"/>
      <c r="K641" s="13"/>
      <c r="M641" s="5"/>
    </row>
    <row r="642">
      <c r="G642" s="5"/>
      <c r="H642" s="5"/>
      <c r="I642" s="5"/>
      <c r="J642" s="13"/>
      <c r="K642" s="13"/>
      <c r="M642" s="5"/>
    </row>
    <row r="643">
      <c r="G643" s="5"/>
      <c r="H643" s="5"/>
      <c r="I643" s="5"/>
      <c r="J643" s="13"/>
      <c r="K643" s="13"/>
      <c r="M643" s="5"/>
    </row>
    <row r="644">
      <c r="G644" s="5"/>
      <c r="H644" s="5"/>
      <c r="I644" s="5"/>
      <c r="J644" s="13"/>
      <c r="K644" s="13"/>
      <c r="M644" s="5"/>
    </row>
    <row r="645">
      <c r="G645" s="5"/>
      <c r="H645" s="5"/>
      <c r="I645" s="5"/>
      <c r="J645" s="13"/>
      <c r="K645" s="13"/>
      <c r="M645" s="5"/>
    </row>
    <row r="646">
      <c r="G646" s="5"/>
      <c r="H646" s="5"/>
      <c r="I646" s="5"/>
      <c r="J646" s="13"/>
      <c r="K646" s="13"/>
      <c r="M646" s="5"/>
    </row>
    <row r="647">
      <c r="G647" s="5"/>
      <c r="H647" s="5"/>
      <c r="I647" s="5"/>
      <c r="J647" s="13"/>
      <c r="K647" s="13"/>
      <c r="M647" s="5"/>
    </row>
    <row r="648">
      <c r="G648" s="5"/>
      <c r="H648" s="5"/>
      <c r="I648" s="5"/>
      <c r="J648" s="13"/>
      <c r="K648" s="13"/>
      <c r="M648" s="5"/>
    </row>
    <row r="649">
      <c r="G649" s="5"/>
      <c r="H649" s="5"/>
      <c r="I649" s="5"/>
      <c r="J649" s="13"/>
      <c r="K649" s="13"/>
      <c r="M649" s="5"/>
    </row>
    <row r="650">
      <c r="G650" s="5"/>
      <c r="H650" s="5"/>
      <c r="I650" s="5"/>
      <c r="J650" s="13"/>
      <c r="K650" s="13"/>
      <c r="M650" s="5"/>
    </row>
    <row r="651">
      <c r="G651" s="5"/>
      <c r="H651" s="5"/>
      <c r="I651" s="5"/>
      <c r="J651" s="13"/>
      <c r="K651" s="13"/>
      <c r="M651" s="5"/>
    </row>
    <row r="652">
      <c r="G652" s="5"/>
      <c r="H652" s="5"/>
      <c r="I652" s="5"/>
      <c r="J652" s="13"/>
      <c r="K652" s="13"/>
      <c r="M652" s="5"/>
    </row>
    <row r="653">
      <c r="G653" s="5"/>
      <c r="H653" s="5"/>
      <c r="I653" s="5"/>
      <c r="J653" s="13"/>
      <c r="K653" s="13"/>
      <c r="M653" s="5"/>
    </row>
    <row r="654">
      <c r="G654" s="5"/>
      <c r="H654" s="5"/>
      <c r="I654" s="5"/>
      <c r="J654" s="13"/>
      <c r="K654" s="13"/>
      <c r="M654" s="5"/>
    </row>
    <row r="655">
      <c r="G655" s="5"/>
      <c r="H655" s="5"/>
      <c r="I655" s="5"/>
      <c r="J655" s="13"/>
      <c r="K655" s="13"/>
      <c r="M655" s="5"/>
    </row>
    <row r="656">
      <c r="G656" s="5"/>
      <c r="H656" s="5"/>
      <c r="I656" s="5"/>
      <c r="J656" s="13"/>
      <c r="K656" s="13"/>
      <c r="M656" s="5"/>
    </row>
    <row r="657">
      <c r="G657" s="5"/>
      <c r="H657" s="5"/>
      <c r="I657" s="5"/>
      <c r="J657" s="13"/>
      <c r="K657" s="13"/>
      <c r="M657" s="5"/>
    </row>
    <row r="658">
      <c r="G658" s="5"/>
      <c r="H658" s="5"/>
      <c r="I658" s="5"/>
      <c r="J658" s="13"/>
      <c r="K658" s="13"/>
      <c r="M658" s="5"/>
    </row>
    <row r="659">
      <c r="G659" s="5"/>
      <c r="H659" s="5"/>
      <c r="I659" s="5"/>
      <c r="J659" s="13"/>
      <c r="K659" s="13"/>
      <c r="M659" s="5"/>
    </row>
    <row r="660">
      <c r="G660" s="5"/>
      <c r="H660" s="5"/>
      <c r="I660" s="5"/>
      <c r="J660" s="13"/>
      <c r="K660" s="13"/>
      <c r="M660" s="5"/>
    </row>
    <row r="661">
      <c r="G661" s="5"/>
      <c r="H661" s="5"/>
      <c r="I661" s="5"/>
      <c r="J661" s="13"/>
      <c r="K661" s="13"/>
      <c r="M661" s="5"/>
    </row>
    <row r="662">
      <c r="G662" s="5"/>
      <c r="H662" s="5"/>
      <c r="I662" s="5"/>
      <c r="J662" s="13"/>
      <c r="K662" s="13"/>
      <c r="M662" s="5"/>
    </row>
    <row r="663">
      <c r="G663" s="5"/>
      <c r="H663" s="5"/>
      <c r="I663" s="5"/>
      <c r="J663" s="13"/>
      <c r="K663" s="13"/>
      <c r="M663" s="5"/>
    </row>
    <row r="664">
      <c r="G664" s="5"/>
      <c r="H664" s="5"/>
      <c r="I664" s="5"/>
      <c r="J664" s="13"/>
      <c r="K664" s="13"/>
      <c r="M664" s="5"/>
    </row>
    <row r="665">
      <c r="G665" s="5"/>
      <c r="H665" s="5"/>
      <c r="I665" s="5"/>
      <c r="J665" s="13"/>
      <c r="K665" s="13"/>
      <c r="M665" s="5"/>
    </row>
    <row r="666">
      <c r="G666" s="5"/>
      <c r="H666" s="5"/>
      <c r="I666" s="5"/>
      <c r="J666" s="13"/>
      <c r="K666" s="13"/>
      <c r="M666" s="5"/>
    </row>
    <row r="667">
      <c r="G667" s="5"/>
      <c r="H667" s="5"/>
      <c r="I667" s="5"/>
      <c r="J667" s="13"/>
      <c r="K667" s="13"/>
      <c r="M667" s="5"/>
    </row>
    <row r="668">
      <c r="G668" s="5"/>
      <c r="H668" s="5"/>
      <c r="I668" s="5"/>
      <c r="J668" s="13"/>
      <c r="K668" s="13"/>
      <c r="M668" s="5"/>
    </row>
    <row r="669">
      <c r="G669" s="5"/>
      <c r="H669" s="5"/>
      <c r="I669" s="5"/>
      <c r="J669" s="13"/>
      <c r="K669" s="13"/>
      <c r="M669" s="5"/>
    </row>
    <row r="670">
      <c r="G670" s="5"/>
      <c r="H670" s="5"/>
      <c r="I670" s="5"/>
      <c r="J670" s="13"/>
      <c r="K670" s="13"/>
      <c r="M670" s="5"/>
    </row>
    <row r="671">
      <c r="G671" s="5"/>
      <c r="H671" s="5"/>
      <c r="I671" s="5"/>
      <c r="J671" s="13"/>
      <c r="K671" s="13"/>
      <c r="M671" s="5"/>
    </row>
    <row r="672">
      <c r="G672" s="5"/>
      <c r="H672" s="5"/>
      <c r="I672" s="5"/>
      <c r="J672" s="13"/>
      <c r="K672" s="13"/>
      <c r="M672" s="5"/>
    </row>
    <row r="673">
      <c r="G673" s="5"/>
      <c r="H673" s="5"/>
      <c r="I673" s="5"/>
      <c r="J673" s="13"/>
      <c r="K673" s="13"/>
      <c r="M673" s="5"/>
    </row>
    <row r="674">
      <c r="G674" s="5"/>
      <c r="H674" s="5"/>
      <c r="I674" s="5"/>
      <c r="J674" s="13"/>
      <c r="K674" s="13"/>
      <c r="M674" s="5"/>
    </row>
    <row r="675">
      <c r="G675" s="5"/>
      <c r="H675" s="5"/>
      <c r="I675" s="5"/>
      <c r="J675" s="13"/>
      <c r="K675" s="13"/>
      <c r="M675" s="5"/>
    </row>
    <row r="676">
      <c r="G676" s="5"/>
      <c r="H676" s="5"/>
      <c r="I676" s="5"/>
      <c r="J676" s="13"/>
      <c r="K676" s="13"/>
      <c r="M676" s="5"/>
    </row>
    <row r="677">
      <c r="G677" s="5"/>
      <c r="H677" s="5"/>
      <c r="I677" s="5"/>
      <c r="J677" s="13"/>
      <c r="K677" s="13"/>
      <c r="M677" s="5"/>
    </row>
    <row r="678">
      <c r="G678" s="5"/>
      <c r="H678" s="5"/>
      <c r="I678" s="5"/>
      <c r="J678" s="13"/>
      <c r="K678" s="13"/>
      <c r="M678" s="5"/>
    </row>
    <row r="679">
      <c r="G679" s="5"/>
      <c r="H679" s="5"/>
      <c r="I679" s="5"/>
      <c r="J679" s="13"/>
      <c r="K679" s="13"/>
      <c r="M679" s="5"/>
    </row>
    <row r="680">
      <c r="G680" s="5"/>
      <c r="H680" s="5"/>
      <c r="I680" s="5"/>
      <c r="J680" s="13"/>
      <c r="K680" s="13"/>
      <c r="M680" s="5"/>
    </row>
    <row r="681">
      <c r="G681" s="5"/>
      <c r="H681" s="5"/>
      <c r="I681" s="5"/>
      <c r="J681" s="13"/>
      <c r="K681" s="13"/>
      <c r="M681" s="5"/>
    </row>
    <row r="682">
      <c r="G682" s="5"/>
      <c r="H682" s="5"/>
      <c r="I682" s="5"/>
      <c r="J682" s="13"/>
      <c r="K682" s="13"/>
      <c r="M682" s="5"/>
    </row>
    <row r="683">
      <c r="G683" s="5"/>
      <c r="H683" s="5"/>
      <c r="I683" s="5"/>
      <c r="J683" s="13"/>
      <c r="K683" s="13"/>
      <c r="M683" s="5"/>
    </row>
    <row r="684">
      <c r="G684" s="5"/>
      <c r="H684" s="5"/>
      <c r="I684" s="5"/>
      <c r="J684" s="13"/>
      <c r="K684" s="13"/>
      <c r="M684" s="5"/>
    </row>
    <row r="685">
      <c r="G685" s="5"/>
      <c r="H685" s="5"/>
      <c r="I685" s="5"/>
      <c r="J685" s="13"/>
      <c r="K685" s="13"/>
      <c r="M685" s="5"/>
    </row>
    <row r="686">
      <c r="G686" s="5"/>
      <c r="H686" s="5"/>
      <c r="I686" s="5"/>
      <c r="J686" s="13"/>
      <c r="K686" s="13"/>
      <c r="M686" s="5"/>
    </row>
    <row r="687">
      <c r="G687" s="5"/>
      <c r="H687" s="5"/>
      <c r="I687" s="5"/>
      <c r="J687" s="13"/>
      <c r="K687" s="13"/>
      <c r="M687" s="5"/>
    </row>
    <row r="688">
      <c r="G688" s="5"/>
      <c r="H688" s="5"/>
      <c r="I688" s="5"/>
      <c r="J688" s="13"/>
      <c r="K688" s="13"/>
      <c r="M688" s="5"/>
    </row>
    <row r="689">
      <c r="G689" s="5"/>
      <c r="H689" s="5"/>
      <c r="I689" s="5"/>
      <c r="J689" s="13"/>
      <c r="K689" s="13"/>
      <c r="M689" s="5"/>
    </row>
    <row r="690">
      <c r="G690" s="5"/>
      <c r="H690" s="5"/>
      <c r="I690" s="5"/>
      <c r="J690" s="13"/>
      <c r="K690" s="13"/>
      <c r="M690" s="5"/>
    </row>
    <row r="691">
      <c r="G691" s="5"/>
      <c r="H691" s="5"/>
      <c r="I691" s="5"/>
      <c r="J691" s="13"/>
      <c r="K691" s="13"/>
      <c r="M691" s="5"/>
    </row>
    <row r="692">
      <c r="G692" s="5"/>
      <c r="H692" s="5"/>
      <c r="I692" s="5"/>
      <c r="J692" s="13"/>
      <c r="K692" s="13"/>
      <c r="M692" s="5"/>
    </row>
    <row r="693">
      <c r="G693" s="5"/>
      <c r="H693" s="5"/>
      <c r="I693" s="5"/>
      <c r="J693" s="13"/>
      <c r="K693" s="13"/>
      <c r="M693" s="5"/>
    </row>
    <row r="694">
      <c r="G694" s="5"/>
      <c r="H694" s="5"/>
      <c r="I694" s="5"/>
      <c r="J694" s="13"/>
      <c r="K694" s="13"/>
      <c r="M694" s="5"/>
    </row>
    <row r="695">
      <c r="G695" s="5"/>
      <c r="H695" s="5"/>
      <c r="I695" s="5"/>
      <c r="J695" s="13"/>
      <c r="K695" s="13"/>
      <c r="M695" s="5"/>
    </row>
    <row r="696">
      <c r="G696" s="5"/>
      <c r="H696" s="5"/>
      <c r="I696" s="5"/>
      <c r="J696" s="13"/>
      <c r="K696" s="13"/>
      <c r="M696" s="5"/>
    </row>
    <row r="697">
      <c r="G697" s="5"/>
      <c r="H697" s="5"/>
      <c r="I697" s="5"/>
      <c r="J697" s="13"/>
      <c r="K697" s="13"/>
      <c r="M697" s="5"/>
    </row>
    <row r="698">
      <c r="G698" s="5"/>
      <c r="H698" s="5"/>
      <c r="I698" s="5"/>
      <c r="J698" s="13"/>
      <c r="K698" s="13"/>
      <c r="M698" s="5"/>
    </row>
    <row r="699">
      <c r="G699" s="5"/>
      <c r="H699" s="5"/>
      <c r="I699" s="5"/>
      <c r="J699" s="13"/>
      <c r="K699" s="13"/>
      <c r="M699" s="5"/>
    </row>
    <row r="700">
      <c r="G700" s="5"/>
      <c r="H700" s="5"/>
      <c r="I700" s="5"/>
      <c r="J700" s="13"/>
      <c r="K700" s="13"/>
      <c r="M700" s="5"/>
    </row>
    <row r="701">
      <c r="G701" s="5"/>
      <c r="H701" s="5"/>
      <c r="I701" s="5"/>
      <c r="J701" s="13"/>
      <c r="K701" s="13"/>
      <c r="M701" s="5"/>
    </row>
    <row r="702">
      <c r="G702" s="5"/>
      <c r="H702" s="5"/>
      <c r="I702" s="5"/>
      <c r="J702" s="13"/>
      <c r="K702" s="13"/>
      <c r="M702" s="5"/>
    </row>
    <row r="703">
      <c r="G703" s="5"/>
      <c r="H703" s="5"/>
      <c r="I703" s="5"/>
      <c r="J703" s="13"/>
      <c r="K703" s="13"/>
      <c r="M703" s="5"/>
    </row>
    <row r="704">
      <c r="G704" s="5"/>
      <c r="H704" s="5"/>
      <c r="I704" s="5"/>
      <c r="J704" s="13"/>
      <c r="K704" s="13"/>
      <c r="M704" s="5"/>
    </row>
    <row r="705">
      <c r="G705" s="5"/>
      <c r="H705" s="5"/>
      <c r="I705" s="5"/>
      <c r="J705" s="13"/>
      <c r="K705" s="13"/>
      <c r="M705" s="5"/>
    </row>
    <row r="706">
      <c r="G706" s="5"/>
      <c r="H706" s="5"/>
      <c r="I706" s="5"/>
      <c r="J706" s="13"/>
      <c r="K706" s="13"/>
      <c r="M706" s="5"/>
    </row>
    <row r="707">
      <c r="G707" s="5"/>
      <c r="H707" s="5"/>
      <c r="I707" s="5"/>
      <c r="J707" s="13"/>
      <c r="K707" s="13"/>
      <c r="M707" s="5"/>
    </row>
    <row r="708">
      <c r="G708" s="5"/>
      <c r="H708" s="5"/>
      <c r="I708" s="5"/>
      <c r="J708" s="13"/>
      <c r="K708" s="13"/>
      <c r="M708" s="5"/>
    </row>
    <row r="709">
      <c r="G709" s="5"/>
      <c r="H709" s="5"/>
      <c r="I709" s="5"/>
      <c r="J709" s="13"/>
      <c r="K709" s="13"/>
      <c r="M709" s="5"/>
    </row>
    <row r="710">
      <c r="G710" s="5"/>
      <c r="H710" s="5"/>
      <c r="I710" s="5"/>
      <c r="J710" s="13"/>
      <c r="K710" s="13"/>
      <c r="M710" s="5"/>
    </row>
    <row r="711">
      <c r="G711" s="5"/>
      <c r="H711" s="5"/>
      <c r="I711" s="5"/>
      <c r="J711" s="13"/>
      <c r="K711" s="13"/>
      <c r="M711" s="5"/>
    </row>
    <row r="712">
      <c r="G712" s="5"/>
      <c r="H712" s="5"/>
      <c r="I712" s="5"/>
      <c r="J712" s="13"/>
      <c r="K712" s="13"/>
      <c r="M712" s="5"/>
    </row>
    <row r="713">
      <c r="G713" s="5"/>
      <c r="H713" s="5"/>
      <c r="I713" s="5"/>
      <c r="J713" s="13"/>
      <c r="K713" s="13"/>
      <c r="M713" s="5"/>
    </row>
    <row r="714">
      <c r="G714" s="5"/>
      <c r="H714" s="5"/>
      <c r="I714" s="5"/>
      <c r="J714" s="13"/>
      <c r="K714" s="13"/>
      <c r="M714" s="5"/>
    </row>
    <row r="715">
      <c r="G715" s="5"/>
      <c r="H715" s="5"/>
      <c r="I715" s="5"/>
      <c r="J715" s="13"/>
      <c r="K715" s="13"/>
      <c r="M715" s="5"/>
    </row>
    <row r="716">
      <c r="G716" s="5"/>
      <c r="H716" s="5"/>
      <c r="I716" s="5"/>
      <c r="J716" s="13"/>
      <c r="K716" s="13"/>
      <c r="M716" s="5"/>
    </row>
    <row r="717">
      <c r="G717" s="5"/>
      <c r="H717" s="5"/>
      <c r="I717" s="5"/>
      <c r="J717" s="13"/>
      <c r="K717" s="13"/>
      <c r="M717" s="5"/>
    </row>
    <row r="718">
      <c r="G718" s="5"/>
      <c r="H718" s="5"/>
      <c r="I718" s="5"/>
      <c r="J718" s="13"/>
      <c r="K718" s="13"/>
      <c r="M718" s="5"/>
    </row>
    <row r="719">
      <c r="G719" s="5"/>
      <c r="H719" s="5"/>
      <c r="I719" s="5"/>
      <c r="J719" s="13"/>
      <c r="K719" s="13"/>
      <c r="M719" s="5"/>
    </row>
    <row r="720">
      <c r="G720" s="5"/>
      <c r="H720" s="5"/>
      <c r="I720" s="5"/>
      <c r="J720" s="13"/>
      <c r="K720" s="13"/>
      <c r="M720" s="5"/>
    </row>
    <row r="721">
      <c r="G721" s="5"/>
      <c r="H721" s="5"/>
      <c r="I721" s="5"/>
      <c r="J721" s="13"/>
      <c r="K721" s="13"/>
      <c r="M721" s="5"/>
    </row>
    <row r="722">
      <c r="G722" s="5"/>
      <c r="H722" s="5"/>
      <c r="I722" s="5"/>
      <c r="J722" s="13"/>
      <c r="K722" s="13"/>
      <c r="M722" s="5"/>
    </row>
    <row r="723">
      <c r="G723" s="5"/>
      <c r="H723" s="5"/>
      <c r="I723" s="5"/>
      <c r="J723" s="13"/>
      <c r="K723" s="13"/>
      <c r="M723" s="5"/>
    </row>
    <row r="724">
      <c r="G724" s="5"/>
      <c r="H724" s="5"/>
      <c r="I724" s="5"/>
      <c r="J724" s="13"/>
      <c r="K724" s="13"/>
      <c r="M724" s="5"/>
    </row>
    <row r="725">
      <c r="G725" s="5"/>
      <c r="H725" s="5"/>
      <c r="I725" s="5"/>
      <c r="J725" s="13"/>
      <c r="K725" s="13"/>
      <c r="M725" s="5"/>
    </row>
    <row r="726">
      <c r="G726" s="5"/>
      <c r="H726" s="5"/>
      <c r="I726" s="5"/>
      <c r="J726" s="13"/>
      <c r="K726" s="13"/>
      <c r="M726" s="5"/>
    </row>
    <row r="727">
      <c r="G727" s="5"/>
      <c r="H727" s="5"/>
      <c r="I727" s="5"/>
      <c r="J727" s="13"/>
      <c r="K727" s="13"/>
      <c r="M727" s="5"/>
    </row>
    <row r="728">
      <c r="G728" s="5"/>
      <c r="H728" s="5"/>
      <c r="I728" s="5"/>
      <c r="J728" s="13"/>
      <c r="K728" s="13"/>
      <c r="M728" s="5"/>
    </row>
    <row r="729">
      <c r="G729" s="5"/>
      <c r="H729" s="5"/>
      <c r="I729" s="5"/>
      <c r="J729" s="13"/>
      <c r="K729" s="13"/>
      <c r="M729" s="5"/>
    </row>
    <row r="730">
      <c r="G730" s="5"/>
      <c r="H730" s="5"/>
      <c r="I730" s="5"/>
      <c r="J730" s="13"/>
      <c r="K730" s="13"/>
      <c r="M730" s="5"/>
    </row>
    <row r="731">
      <c r="G731" s="5"/>
      <c r="H731" s="5"/>
      <c r="I731" s="5"/>
      <c r="J731" s="13"/>
      <c r="K731" s="13"/>
      <c r="M731" s="5"/>
    </row>
    <row r="732">
      <c r="G732" s="5"/>
      <c r="H732" s="5"/>
      <c r="I732" s="5"/>
      <c r="J732" s="13"/>
      <c r="K732" s="13"/>
      <c r="M732" s="5"/>
    </row>
    <row r="733">
      <c r="G733" s="5"/>
      <c r="H733" s="5"/>
      <c r="I733" s="5"/>
      <c r="J733" s="13"/>
      <c r="K733" s="13"/>
      <c r="M733" s="5"/>
    </row>
    <row r="734">
      <c r="G734" s="5"/>
      <c r="H734" s="5"/>
      <c r="I734" s="5"/>
      <c r="J734" s="13"/>
      <c r="K734" s="13"/>
      <c r="M734" s="5"/>
    </row>
    <row r="735">
      <c r="G735" s="5"/>
      <c r="H735" s="5"/>
      <c r="I735" s="5"/>
      <c r="J735" s="13"/>
      <c r="K735" s="13"/>
      <c r="M735" s="5"/>
    </row>
    <row r="736">
      <c r="G736" s="5"/>
      <c r="H736" s="5"/>
      <c r="I736" s="5"/>
      <c r="J736" s="13"/>
      <c r="K736" s="13"/>
      <c r="M736" s="5"/>
    </row>
    <row r="737">
      <c r="G737" s="5"/>
      <c r="H737" s="5"/>
      <c r="I737" s="5"/>
      <c r="J737" s="13"/>
      <c r="K737" s="13"/>
      <c r="M737" s="5"/>
    </row>
    <row r="738">
      <c r="G738" s="5"/>
      <c r="H738" s="5"/>
      <c r="I738" s="5"/>
      <c r="J738" s="13"/>
      <c r="K738" s="13"/>
      <c r="M738" s="5"/>
    </row>
    <row r="739">
      <c r="G739" s="5"/>
      <c r="H739" s="5"/>
      <c r="I739" s="5"/>
      <c r="J739" s="13"/>
      <c r="K739" s="13"/>
      <c r="M739" s="5"/>
    </row>
    <row r="740">
      <c r="G740" s="5"/>
      <c r="H740" s="5"/>
      <c r="I740" s="5"/>
      <c r="J740" s="13"/>
      <c r="K740" s="13"/>
      <c r="M740" s="5"/>
    </row>
    <row r="741">
      <c r="G741" s="5"/>
      <c r="H741" s="5"/>
      <c r="I741" s="5"/>
      <c r="J741" s="13"/>
      <c r="K741" s="13"/>
      <c r="M741" s="5"/>
    </row>
    <row r="742">
      <c r="G742" s="5"/>
      <c r="H742" s="5"/>
      <c r="I742" s="5"/>
      <c r="J742" s="13"/>
      <c r="K742" s="13"/>
      <c r="M742" s="5"/>
    </row>
    <row r="743">
      <c r="G743" s="5"/>
      <c r="H743" s="5"/>
      <c r="I743" s="5"/>
      <c r="J743" s="13"/>
      <c r="K743" s="13"/>
      <c r="M743" s="5"/>
    </row>
    <row r="744">
      <c r="G744" s="5"/>
      <c r="H744" s="5"/>
      <c r="I744" s="5"/>
      <c r="J744" s="13"/>
      <c r="K744" s="13"/>
      <c r="M744" s="5"/>
    </row>
    <row r="745">
      <c r="G745" s="5"/>
      <c r="H745" s="5"/>
      <c r="I745" s="5"/>
      <c r="J745" s="13"/>
      <c r="K745" s="13"/>
      <c r="M745" s="5"/>
    </row>
    <row r="746">
      <c r="G746" s="5"/>
      <c r="H746" s="5"/>
      <c r="I746" s="5"/>
      <c r="J746" s="13"/>
      <c r="K746" s="13"/>
      <c r="M746" s="5"/>
    </row>
    <row r="747">
      <c r="G747" s="5"/>
      <c r="H747" s="5"/>
      <c r="I747" s="5"/>
      <c r="J747" s="13"/>
      <c r="K747" s="13"/>
      <c r="M747" s="5"/>
    </row>
    <row r="748">
      <c r="G748" s="5"/>
      <c r="H748" s="5"/>
      <c r="I748" s="5"/>
      <c r="J748" s="13"/>
      <c r="K748" s="13"/>
      <c r="M748" s="5"/>
    </row>
    <row r="749">
      <c r="G749" s="5"/>
      <c r="H749" s="5"/>
      <c r="I749" s="5"/>
      <c r="J749" s="13"/>
      <c r="K749" s="13"/>
      <c r="M749" s="5"/>
    </row>
    <row r="750">
      <c r="G750" s="5"/>
      <c r="H750" s="5"/>
      <c r="I750" s="5"/>
      <c r="J750" s="13"/>
      <c r="K750" s="13"/>
      <c r="M750" s="5"/>
    </row>
    <row r="751">
      <c r="G751" s="5"/>
      <c r="H751" s="5"/>
      <c r="I751" s="5"/>
      <c r="J751" s="13"/>
      <c r="K751" s="13"/>
      <c r="M751" s="5"/>
    </row>
    <row r="752">
      <c r="G752" s="5"/>
      <c r="H752" s="5"/>
      <c r="I752" s="5"/>
      <c r="J752" s="13"/>
      <c r="K752" s="13"/>
      <c r="M752" s="5"/>
    </row>
    <row r="753">
      <c r="G753" s="5"/>
      <c r="H753" s="5"/>
      <c r="I753" s="5"/>
      <c r="J753" s="13"/>
      <c r="K753" s="13"/>
      <c r="M753" s="5"/>
    </row>
    <row r="754">
      <c r="G754" s="5"/>
      <c r="H754" s="5"/>
      <c r="I754" s="5"/>
      <c r="J754" s="13"/>
      <c r="K754" s="13"/>
      <c r="M754" s="5"/>
    </row>
    <row r="755">
      <c r="G755" s="5"/>
      <c r="H755" s="5"/>
      <c r="I755" s="5"/>
      <c r="J755" s="13"/>
      <c r="K755" s="13"/>
      <c r="M755" s="5"/>
    </row>
    <row r="756">
      <c r="G756" s="5"/>
      <c r="H756" s="5"/>
      <c r="I756" s="5"/>
      <c r="J756" s="13"/>
      <c r="K756" s="13"/>
      <c r="M756" s="5"/>
    </row>
    <row r="757">
      <c r="G757" s="5"/>
      <c r="H757" s="5"/>
      <c r="I757" s="5"/>
      <c r="J757" s="13"/>
      <c r="K757" s="13"/>
      <c r="M757" s="5"/>
    </row>
    <row r="758">
      <c r="G758" s="5"/>
      <c r="H758" s="5"/>
      <c r="I758" s="5"/>
      <c r="J758" s="13"/>
      <c r="K758" s="13"/>
      <c r="M758" s="5"/>
    </row>
    <row r="759">
      <c r="G759" s="5"/>
      <c r="H759" s="5"/>
      <c r="I759" s="5"/>
      <c r="J759" s="13"/>
      <c r="K759" s="13"/>
      <c r="M759" s="5"/>
    </row>
    <row r="760">
      <c r="G760" s="5"/>
      <c r="H760" s="5"/>
      <c r="I760" s="5"/>
      <c r="J760" s="13"/>
      <c r="K760" s="13"/>
      <c r="M760" s="5"/>
    </row>
    <row r="761">
      <c r="G761" s="5"/>
      <c r="H761" s="5"/>
      <c r="I761" s="5"/>
      <c r="J761" s="13"/>
      <c r="K761" s="13"/>
      <c r="M761" s="5"/>
    </row>
    <row r="762">
      <c r="G762" s="5"/>
      <c r="H762" s="5"/>
      <c r="I762" s="5"/>
      <c r="J762" s="13"/>
      <c r="K762" s="13"/>
      <c r="M762" s="5"/>
    </row>
    <row r="763">
      <c r="G763" s="5"/>
      <c r="H763" s="5"/>
      <c r="I763" s="5"/>
      <c r="J763" s="13"/>
      <c r="K763" s="13"/>
      <c r="M763" s="5"/>
    </row>
    <row r="764">
      <c r="G764" s="5"/>
      <c r="H764" s="5"/>
      <c r="I764" s="5"/>
      <c r="J764" s="13"/>
      <c r="K764" s="13"/>
      <c r="M764" s="5"/>
    </row>
    <row r="765">
      <c r="G765" s="5"/>
      <c r="H765" s="5"/>
      <c r="I765" s="5"/>
      <c r="J765" s="13"/>
      <c r="K765" s="13"/>
      <c r="M765" s="5"/>
    </row>
    <row r="766">
      <c r="G766" s="5"/>
      <c r="H766" s="5"/>
      <c r="I766" s="5"/>
      <c r="J766" s="13"/>
      <c r="K766" s="13"/>
      <c r="M766" s="5"/>
    </row>
    <row r="767">
      <c r="G767" s="5"/>
      <c r="H767" s="5"/>
      <c r="I767" s="5"/>
      <c r="J767" s="13"/>
      <c r="K767" s="13"/>
      <c r="M767" s="5"/>
    </row>
    <row r="768">
      <c r="G768" s="5"/>
      <c r="H768" s="5"/>
      <c r="I768" s="5"/>
      <c r="J768" s="13"/>
      <c r="K768" s="13"/>
      <c r="M768" s="5"/>
    </row>
    <row r="769">
      <c r="G769" s="5"/>
      <c r="H769" s="5"/>
      <c r="I769" s="5"/>
      <c r="J769" s="13"/>
      <c r="K769" s="13"/>
      <c r="M769" s="5"/>
    </row>
    <row r="770">
      <c r="G770" s="5"/>
      <c r="H770" s="5"/>
      <c r="I770" s="5"/>
      <c r="J770" s="13"/>
      <c r="K770" s="13"/>
      <c r="M770" s="5"/>
    </row>
    <row r="771">
      <c r="G771" s="5"/>
      <c r="H771" s="5"/>
      <c r="I771" s="5"/>
      <c r="J771" s="13"/>
      <c r="K771" s="13"/>
      <c r="M771" s="5"/>
    </row>
    <row r="772">
      <c r="G772" s="5"/>
      <c r="H772" s="5"/>
      <c r="I772" s="5"/>
      <c r="J772" s="13"/>
      <c r="K772" s="13"/>
      <c r="M772" s="5"/>
    </row>
    <row r="773">
      <c r="G773" s="5"/>
      <c r="H773" s="5"/>
      <c r="I773" s="5"/>
      <c r="J773" s="13"/>
      <c r="K773" s="13"/>
      <c r="M773" s="5"/>
    </row>
    <row r="774">
      <c r="G774" s="5"/>
      <c r="H774" s="5"/>
      <c r="I774" s="5"/>
      <c r="J774" s="13"/>
      <c r="K774" s="13"/>
      <c r="M774" s="5"/>
    </row>
    <row r="775">
      <c r="G775" s="5"/>
      <c r="H775" s="5"/>
      <c r="I775" s="5"/>
      <c r="J775" s="13"/>
      <c r="K775" s="13"/>
      <c r="M775" s="5"/>
    </row>
    <row r="776">
      <c r="G776" s="5"/>
      <c r="H776" s="5"/>
      <c r="I776" s="5"/>
      <c r="J776" s="13"/>
      <c r="K776" s="13"/>
      <c r="M776" s="5"/>
    </row>
    <row r="777">
      <c r="G777" s="5"/>
      <c r="H777" s="5"/>
      <c r="I777" s="5"/>
      <c r="J777" s="13"/>
      <c r="K777" s="13"/>
      <c r="M777" s="5"/>
    </row>
    <row r="778">
      <c r="G778" s="5"/>
      <c r="H778" s="5"/>
      <c r="I778" s="5"/>
      <c r="J778" s="13"/>
      <c r="K778" s="13"/>
      <c r="M778" s="5"/>
    </row>
    <row r="779">
      <c r="G779" s="5"/>
      <c r="H779" s="5"/>
      <c r="I779" s="5"/>
      <c r="J779" s="13"/>
      <c r="K779" s="13"/>
      <c r="M779" s="5"/>
    </row>
    <row r="780">
      <c r="G780" s="5"/>
      <c r="H780" s="5"/>
      <c r="I780" s="5"/>
      <c r="J780" s="13"/>
      <c r="K780" s="13"/>
      <c r="M780" s="5"/>
    </row>
    <row r="781">
      <c r="G781" s="5"/>
      <c r="H781" s="5"/>
      <c r="I781" s="5"/>
      <c r="J781" s="13"/>
      <c r="K781" s="13"/>
      <c r="M781" s="5"/>
    </row>
    <row r="782">
      <c r="G782" s="5"/>
      <c r="H782" s="5"/>
      <c r="I782" s="5"/>
      <c r="J782" s="13"/>
      <c r="K782" s="13"/>
      <c r="M782" s="5"/>
    </row>
    <row r="783">
      <c r="G783" s="5"/>
      <c r="H783" s="5"/>
      <c r="I783" s="5"/>
      <c r="J783" s="13"/>
      <c r="K783" s="13"/>
      <c r="M783" s="5"/>
    </row>
    <row r="784">
      <c r="G784" s="5"/>
      <c r="H784" s="5"/>
      <c r="I784" s="5"/>
      <c r="J784" s="13"/>
      <c r="K784" s="13"/>
      <c r="M784" s="5"/>
    </row>
    <row r="785">
      <c r="G785" s="5"/>
      <c r="H785" s="5"/>
      <c r="I785" s="5"/>
      <c r="J785" s="13"/>
      <c r="K785" s="13"/>
      <c r="M785" s="5"/>
    </row>
    <row r="786">
      <c r="G786" s="5"/>
      <c r="H786" s="5"/>
      <c r="I786" s="5"/>
      <c r="J786" s="13"/>
      <c r="K786" s="13"/>
      <c r="M786" s="5"/>
    </row>
    <row r="787">
      <c r="G787" s="5"/>
      <c r="H787" s="5"/>
      <c r="I787" s="5"/>
      <c r="J787" s="13"/>
      <c r="K787" s="13"/>
      <c r="M787" s="5"/>
    </row>
    <row r="788">
      <c r="G788" s="5"/>
      <c r="H788" s="5"/>
      <c r="I788" s="5"/>
      <c r="J788" s="13"/>
      <c r="K788" s="13"/>
      <c r="M788" s="5"/>
    </row>
    <row r="789">
      <c r="G789" s="5"/>
      <c r="H789" s="5"/>
      <c r="I789" s="5"/>
      <c r="J789" s="13"/>
      <c r="K789" s="13"/>
      <c r="M789" s="5"/>
    </row>
    <row r="790">
      <c r="G790" s="5"/>
      <c r="H790" s="5"/>
      <c r="I790" s="5"/>
      <c r="J790" s="13"/>
      <c r="K790" s="13"/>
      <c r="M790" s="5"/>
    </row>
    <row r="791">
      <c r="G791" s="5"/>
      <c r="H791" s="5"/>
      <c r="I791" s="5"/>
      <c r="J791" s="13"/>
      <c r="K791" s="13"/>
      <c r="M791" s="5"/>
    </row>
    <row r="792">
      <c r="G792" s="5"/>
      <c r="H792" s="5"/>
      <c r="I792" s="5"/>
      <c r="J792" s="13"/>
      <c r="K792" s="13"/>
      <c r="M792" s="5"/>
    </row>
    <row r="793">
      <c r="G793" s="5"/>
      <c r="H793" s="5"/>
      <c r="I793" s="5"/>
      <c r="J793" s="13"/>
      <c r="K793" s="13"/>
      <c r="M793" s="5"/>
    </row>
    <row r="794">
      <c r="G794" s="5"/>
      <c r="H794" s="5"/>
      <c r="I794" s="5"/>
      <c r="J794" s="13"/>
      <c r="K794" s="13"/>
      <c r="M794" s="5"/>
    </row>
    <row r="795">
      <c r="G795" s="5"/>
      <c r="H795" s="5"/>
      <c r="I795" s="5"/>
      <c r="J795" s="13"/>
      <c r="K795" s="13"/>
      <c r="M795" s="5"/>
    </row>
    <row r="796">
      <c r="G796" s="5"/>
      <c r="H796" s="5"/>
      <c r="I796" s="5"/>
      <c r="J796" s="13"/>
      <c r="K796" s="13"/>
      <c r="M796" s="5"/>
    </row>
    <row r="797">
      <c r="G797" s="5"/>
      <c r="H797" s="5"/>
      <c r="I797" s="5"/>
      <c r="J797" s="13"/>
      <c r="K797" s="13"/>
      <c r="M797" s="5"/>
    </row>
    <row r="798">
      <c r="G798" s="5"/>
      <c r="H798" s="5"/>
      <c r="I798" s="5"/>
      <c r="J798" s="13"/>
      <c r="K798" s="13"/>
      <c r="M798" s="5"/>
    </row>
    <row r="799">
      <c r="G799" s="5"/>
      <c r="H799" s="5"/>
      <c r="I799" s="5"/>
      <c r="J799" s="13"/>
      <c r="K799" s="13"/>
      <c r="M799" s="5"/>
    </row>
    <row r="800">
      <c r="G800" s="5"/>
      <c r="H800" s="5"/>
      <c r="I800" s="5"/>
      <c r="J800" s="13"/>
      <c r="K800" s="13"/>
      <c r="M800" s="5"/>
    </row>
    <row r="801">
      <c r="G801" s="5"/>
      <c r="H801" s="5"/>
      <c r="I801" s="5"/>
      <c r="J801" s="13"/>
      <c r="K801" s="13"/>
      <c r="M801" s="5"/>
    </row>
    <row r="802">
      <c r="G802" s="5"/>
      <c r="H802" s="5"/>
      <c r="I802" s="5"/>
      <c r="J802" s="13"/>
      <c r="K802" s="13"/>
      <c r="M802" s="5"/>
    </row>
    <row r="803">
      <c r="G803" s="5"/>
      <c r="H803" s="5"/>
      <c r="I803" s="5"/>
      <c r="J803" s="13"/>
      <c r="K803" s="13"/>
      <c r="M803" s="5"/>
    </row>
    <row r="804">
      <c r="G804" s="5"/>
      <c r="H804" s="5"/>
      <c r="I804" s="5"/>
      <c r="J804" s="13"/>
      <c r="K804" s="13"/>
      <c r="M804" s="5"/>
    </row>
    <row r="805">
      <c r="G805" s="5"/>
      <c r="H805" s="5"/>
      <c r="I805" s="5"/>
      <c r="J805" s="13"/>
      <c r="K805" s="13"/>
      <c r="M805" s="5"/>
    </row>
    <row r="806">
      <c r="G806" s="5"/>
      <c r="H806" s="5"/>
      <c r="I806" s="5"/>
      <c r="J806" s="13"/>
      <c r="K806" s="13"/>
      <c r="M806" s="5"/>
    </row>
    <row r="807">
      <c r="G807" s="5"/>
      <c r="H807" s="5"/>
      <c r="I807" s="5"/>
      <c r="J807" s="13"/>
      <c r="K807" s="13"/>
      <c r="M807" s="5"/>
    </row>
    <row r="808">
      <c r="G808" s="5"/>
      <c r="H808" s="5"/>
      <c r="I808" s="5"/>
      <c r="J808" s="13"/>
      <c r="K808" s="13"/>
      <c r="M808" s="5"/>
    </row>
    <row r="809">
      <c r="G809" s="5"/>
      <c r="H809" s="5"/>
      <c r="I809" s="5"/>
      <c r="J809" s="13"/>
      <c r="K809" s="13"/>
      <c r="M809" s="5"/>
    </row>
    <row r="810">
      <c r="G810" s="5"/>
      <c r="H810" s="5"/>
      <c r="I810" s="5"/>
      <c r="J810" s="13"/>
      <c r="K810" s="13"/>
      <c r="M810" s="5"/>
    </row>
    <row r="811">
      <c r="G811" s="5"/>
      <c r="H811" s="5"/>
      <c r="I811" s="5"/>
      <c r="J811" s="13"/>
      <c r="K811" s="13"/>
      <c r="M811" s="5"/>
    </row>
    <row r="812">
      <c r="G812" s="5"/>
      <c r="H812" s="5"/>
      <c r="I812" s="5"/>
      <c r="J812" s="13"/>
      <c r="K812" s="13"/>
      <c r="M812" s="5"/>
    </row>
    <row r="813">
      <c r="G813" s="5"/>
      <c r="H813" s="5"/>
      <c r="I813" s="5"/>
      <c r="J813" s="13"/>
      <c r="K813" s="13"/>
      <c r="M813" s="5"/>
    </row>
    <row r="814">
      <c r="G814" s="5"/>
      <c r="H814" s="5"/>
      <c r="I814" s="5"/>
      <c r="J814" s="13"/>
      <c r="K814" s="13"/>
      <c r="M814" s="5"/>
    </row>
    <row r="815">
      <c r="G815" s="5"/>
      <c r="H815" s="5"/>
      <c r="I815" s="5"/>
      <c r="J815" s="13"/>
      <c r="K815" s="13"/>
      <c r="M815" s="5"/>
    </row>
    <row r="816">
      <c r="G816" s="5"/>
      <c r="H816" s="5"/>
      <c r="I816" s="5"/>
      <c r="J816" s="13"/>
      <c r="K816" s="13"/>
      <c r="M816" s="5"/>
    </row>
    <row r="817">
      <c r="G817" s="5"/>
      <c r="H817" s="5"/>
      <c r="I817" s="5"/>
      <c r="J817" s="13"/>
      <c r="K817" s="13"/>
      <c r="M817" s="5"/>
    </row>
    <row r="818">
      <c r="G818" s="5"/>
      <c r="H818" s="5"/>
      <c r="I818" s="5"/>
      <c r="J818" s="13"/>
      <c r="K818" s="13"/>
      <c r="M818" s="5"/>
    </row>
    <row r="819">
      <c r="G819" s="5"/>
      <c r="H819" s="5"/>
      <c r="I819" s="5"/>
      <c r="J819" s="13"/>
      <c r="K819" s="13"/>
      <c r="M819" s="5"/>
    </row>
    <row r="820">
      <c r="G820" s="5"/>
      <c r="H820" s="5"/>
      <c r="I820" s="5"/>
      <c r="J820" s="13"/>
      <c r="K820" s="13"/>
      <c r="M820" s="5"/>
    </row>
    <row r="821">
      <c r="G821" s="5"/>
      <c r="H821" s="5"/>
      <c r="I821" s="5"/>
      <c r="J821" s="13"/>
      <c r="K821" s="13"/>
      <c r="M821" s="5"/>
    </row>
    <row r="822">
      <c r="G822" s="5"/>
      <c r="H822" s="5"/>
      <c r="I822" s="5"/>
      <c r="J822" s="13"/>
      <c r="K822" s="13"/>
      <c r="M822" s="5"/>
    </row>
    <row r="823">
      <c r="G823" s="5"/>
      <c r="H823" s="5"/>
      <c r="I823" s="5"/>
      <c r="J823" s="13"/>
      <c r="K823" s="13"/>
      <c r="M823" s="5"/>
    </row>
    <row r="824">
      <c r="G824" s="5"/>
      <c r="H824" s="5"/>
      <c r="I824" s="5"/>
      <c r="J824" s="13"/>
      <c r="K824" s="13"/>
      <c r="M824" s="5"/>
    </row>
    <row r="825">
      <c r="G825" s="5"/>
      <c r="H825" s="5"/>
      <c r="I825" s="5"/>
      <c r="J825" s="13"/>
      <c r="K825" s="13"/>
      <c r="M825" s="5"/>
    </row>
    <row r="826">
      <c r="G826" s="5"/>
      <c r="H826" s="5"/>
      <c r="I826" s="5"/>
      <c r="J826" s="13"/>
      <c r="K826" s="13"/>
      <c r="M826" s="5"/>
    </row>
    <row r="827">
      <c r="G827" s="5"/>
      <c r="H827" s="5"/>
      <c r="I827" s="5"/>
      <c r="J827" s="13"/>
      <c r="K827" s="13"/>
      <c r="M827" s="5"/>
    </row>
    <row r="828">
      <c r="G828" s="5"/>
      <c r="H828" s="5"/>
      <c r="I828" s="5"/>
      <c r="J828" s="13"/>
      <c r="K828" s="13"/>
      <c r="M828" s="5"/>
    </row>
    <row r="829">
      <c r="G829" s="5"/>
      <c r="H829" s="5"/>
      <c r="I829" s="5"/>
      <c r="J829" s="13"/>
      <c r="K829" s="13"/>
      <c r="M829" s="5"/>
    </row>
    <row r="830">
      <c r="G830" s="5"/>
      <c r="H830" s="5"/>
      <c r="I830" s="5"/>
      <c r="J830" s="13"/>
      <c r="K830" s="13"/>
      <c r="M830" s="5"/>
    </row>
    <row r="831">
      <c r="G831" s="5"/>
      <c r="H831" s="5"/>
      <c r="I831" s="5"/>
      <c r="J831" s="13"/>
      <c r="K831" s="13"/>
      <c r="M831" s="5"/>
    </row>
    <row r="832">
      <c r="G832" s="5"/>
      <c r="H832" s="5"/>
      <c r="I832" s="5"/>
      <c r="J832" s="13"/>
      <c r="K832" s="13"/>
      <c r="M832" s="5"/>
    </row>
    <row r="833">
      <c r="G833" s="5"/>
      <c r="H833" s="5"/>
      <c r="I833" s="5"/>
      <c r="J833" s="13"/>
      <c r="K833" s="13"/>
      <c r="M833" s="5"/>
    </row>
    <row r="834">
      <c r="G834" s="5"/>
      <c r="H834" s="5"/>
      <c r="I834" s="5"/>
      <c r="J834" s="13"/>
      <c r="K834" s="13"/>
      <c r="M834" s="5"/>
    </row>
    <row r="835">
      <c r="G835" s="5"/>
      <c r="H835" s="5"/>
      <c r="I835" s="5"/>
      <c r="J835" s="13"/>
      <c r="K835" s="13"/>
      <c r="M835" s="5"/>
    </row>
    <row r="836">
      <c r="G836" s="5"/>
      <c r="H836" s="5"/>
      <c r="I836" s="5"/>
      <c r="J836" s="13"/>
      <c r="K836" s="13"/>
      <c r="M836" s="5"/>
    </row>
    <row r="837">
      <c r="G837" s="5"/>
      <c r="H837" s="5"/>
      <c r="I837" s="5"/>
      <c r="J837" s="13"/>
      <c r="K837" s="13"/>
      <c r="M837" s="5"/>
    </row>
    <row r="838">
      <c r="G838" s="5"/>
      <c r="H838" s="5"/>
      <c r="I838" s="5"/>
      <c r="J838" s="13"/>
      <c r="K838" s="13"/>
      <c r="M838" s="5"/>
    </row>
    <row r="839">
      <c r="G839" s="5"/>
      <c r="H839" s="5"/>
      <c r="I839" s="5"/>
      <c r="J839" s="13"/>
      <c r="K839" s="13"/>
      <c r="M839" s="5"/>
    </row>
    <row r="840">
      <c r="G840" s="5"/>
      <c r="H840" s="5"/>
      <c r="I840" s="5"/>
      <c r="J840" s="13"/>
      <c r="K840" s="13"/>
      <c r="M840" s="5"/>
    </row>
    <row r="841">
      <c r="G841" s="5"/>
      <c r="H841" s="5"/>
      <c r="I841" s="5"/>
      <c r="J841" s="13"/>
      <c r="K841" s="13"/>
      <c r="M841" s="5"/>
    </row>
    <row r="842">
      <c r="G842" s="5"/>
      <c r="H842" s="5"/>
      <c r="I842" s="5"/>
      <c r="J842" s="13"/>
      <c r="K842" s="13"/>
      <c r="M842" s="5"/>
    </row>
    <row r="843">
      <c r="G843" s="5"/>
      <c r="H843" s="5"/>
      <c r="I843" s="5"/>
      <c r="J843" s="13"/>
      <c r="K843" s="13"/>
      <c r="M843" s="5"/>
    </row>
    <row r="844">
      <c r="G844" s="5"/>
      <c r="H844" s="5"/>
      <c r="I844" s="5"/>
      <c r="J844" s="13"/>
      <c r="K844" s="13"/>
      <c r="M844" s="5"/>
    </row>
    <row r="845">
      <c r="G845" s="5"/>
      <c r="H845" s="5"/>
      <c r="I845" s="5"/>
      <c r="J845" s="13"/>
      <c r="K845" s="13"/>
      <c r="M845" s="5"/>
    </row>
    <row r="846">
      <c r="G846" s="5"/>
      <c r="H846" s="5"/>
      <c r="I846" s="5"/>
      <c r="J846" s="13"/>
      <c r="K846" s="13"/>
      <c r="M846" s="5"/>
    </row>
    <row r="847">
      <c r="G847" s="5"/>
      <c r="H847" s="5"/>
      <c r="I847" s="5"/>
      <c r="J847" s="13"/>
      <c r="K847" s="13"/>
      <c r="M847" s="5"/>
    </row>
    <row r="848">
      <c r="G848" s="5"/>
      <c r="H848" s="5"/>
      <c r="I848" s="5"/>
      <c r="J848" s="13"/>
      <c r="K848" s="13"/>
      <c r="M848" s="5"/>
    </row>
    <row r="849">
      <c r="G849" s="5"/>
      <c r="H849" s="5"/>
      <c r="I849" s="5"/>
      <c r="J849" s="13"/>
      <c r="K849" s="13"/>
      <c r="M849" s="5"/>
    </row>
    <row r="850">
      <c r="G850" s="5"/>
      <c r="H850" s="5"/>
      <c r="I850" s="5"/>
      <c r="J850" s="13"/>
      <c r="K850" s="13"/>
      <c r="M850" s="5"/>
    </row>
    <row r="851">
      <c r="G851" s="5"/>
      <c r="H851" s="5"/>
      <c r="I851" s="5"/>
      <c r="J851" s="13"/>
      <c r="K851" s="13"/>
      <c r="M851" s="5"/>
    </row>
    <row r="852">
      <c r="G852" s="5"/>
      <c r="H852" s="5"/>
      <c r="I852" s="5"/>
      <c r="J852" s="13"/>
      <c r="K852" s="13"/>
      <c r="M852" s="5"/>
    </row>
    <row r="853">
      <c r="G853" s="5"/>
      <c r="H853" s="5"/>
      <c r="I853" s="5"/>
      <c r="J853" s="13"/>
      <c r="K853" s="13"/>
      <c r="M853" s="5"/>
    </row>
    <row r="854">
      <c r="G854" s="5"/>
      <c r="H854" s="5"/>
      <c r="I854" s="5"/>
      <c r="J854" s="13"/>
      <c r="K854" s="13"/>
      <c r="M854" s="5"/>
    </row>
    <row r="855">
      <c r="G855" s="5"/>
      <c r="H855" s="5"/>
      <c r="I855" s="5"/>
      <c r="J855" s="13"/>
      <c r="K855" s="13"/>
      <c r="M855" s="5"/>
    </row>
    <row r="856">
      <c r="G856" s="5"/>
      <c r="H856" s="5"/>
      <c r="I856" s="5"/>
      <c r="J856" s="13"/>
      <c r="K856" s="13"/>
      <c r="M856" s="5"/>
    </row>
    <row r="857">
      <c r="G857" s="5"/>
      <c r="H857" s="5"/>
      <c r="I857" s="5"/>
      <c r="J857" s="13"/>
      <c r="K857" s="13"/>
      <c r="M857" s="5"/>
    </row>
    <row r="858">
      <c r="G858" s="5"/>
      <c r="H858" s="5"/>
      <c r="I858" s="5"/>
      <c r="J858" s="13"/>
      <c r="K858" s="13"/>
      <c r="M858" s="5"/>
    </row>
    <row r="859">
      <c r="G859" s="5"/>
      <c r="H859" s="5"/>
      <c r="I859" s="5"/>
      <c r="J859" s="13"/>
      <c r="K859" s="13"/>
      <c r="M859" s="5"/>
    </row>
    <row r="860">
      <c r="G860" s="5"/>
      <c r="H860" s="5"/>
      <c r="I860" s="5"/>
      <c r="J860" s="13"/>
      <c r="K860" s="13"/>
      <c r="M860" s="5"/>
    </row>
    <row r="861">
      <c r="G861" s="5"/>
      <c r="H861" s="5"/>
      <c r="I861" s="5"/>
      <c r="J861" s="13"/>
      <c r="K861" s="13"/>
      <c r="M861" s="5"/>
    </row>
    <row r="862">
      <c r="G862" s="5"/>
      <c r="H862" s="5"/>
      <c r="I862" s="5"/>
      <c r="J862" s="13"/>
      <c r="K862" s="13"/>
      <c r="M862" s="5"/>
    </row>
    <row r="863">
      <c r="G863" s="5"/>
      <c r="H863" s="5"/>
      <c r="I863" s="5"/>
      <c r="J863" s="13"/>
      <c r="K863" s="13"/>
      <c r="M863" s="5"/>
    </row>
    <row r="864">
      <c r="G864" s="5"/>
      <c r="H864" s="5"/>
      <c r="I864" s="5"/>
      <c r="J864" s="13"/>
      <c r="K864" s="13"/>
      <c r="M864" s="5"/>
    </row>
    <row r="865">
      <c r="G865" s="5"/>
      <c r="H865" s="5"/>
      <c r="I865" s="5"/>
      <c r="J865" s="13"/>
      <c r="K865" s="13"/>
      <c r="M865" s="5"/>
    </row>
    <row r="866">
      <c r="G866" s="5"/>
      <c r="H866" s="5"/>
      <c r="I866" s="5"/>
      <c r="J866" s="13"/>
      <c r="K866" s="13"/>
      <c r="M866" s="5"/>
    </row>
    <row r="867">
      <c r="G867" s="5"/>
      <c r="H867" s="5"/>
      <c r="I867" s="5"/>
      <c r="J867" s="13"/>
      <c r="K867" s="13"/>
      <c r="M867" s="5"/>
    </row>
    <row r="868">
      <c r="G868" s="5"/>
      <c r="H868" s="5"/>
      <c r="I868" s="5"/>
      <c r="J868" s="13"/>
      <c r="K868" s="13"/>
      <c r="M868" s="5"/>
    </row>
    <row r="869">
      <c r="G869" s="5"/>
      <c r="H869" s="5"/>
      <c r="I869" s="5"/>
      <c r="J869" s="13"/>
      <c r="K869" s="13"/>
      <c r="M869" s="5"/>
    </row>
    <row r="870">
      <c r="G870" s="5"/>
      <c r="H870" s="5"/>
      <c r="I870" s="5"/>
      <c r="J870" s="13"/>
      <c r="K870" s="13"/>
      <c r="M870" s="5"/>
    </row>
    <row r="871">
      <c r="G871" s="5"/>
      <c r="H871" s="5"/>
      <c r="I871" s="5"/>
      <c r="J871" s="13"/>
      <c r="K871" s="13"/>
      <c r="M871" s="5"/>
    </row>
    <row r="872">
      <c r="G872" s="5"/>
      <c r="H872" s="5"/>
      <c r="I872" s="5"/>
      <c r="J872" s="13"/>
      <c r="K872" s="13"/>
      <c r="M872" s="5"/>
    </row>
    <row r="873">
      <c r="G873" s="5"/>
      <c r="H873" s="5"/>
      <c r="I873" s="5"/>
      <c r="J873" s="13"/>
      <c r="K873" s="13"/>
      <c r="M873" s="5"/>
    </row>
    <row r="874">
      <c r="G874" s="5"/>
      <c r="H874" s="5"/>
      <c r="I874" s="5"/>
      <c r="J874" s="13"/>
      <c r="K874" s="13"/>
      <c r="M874" s="5"/>
    </row>
    <row r="875">
      <c r="G875" s="5"/>
      <c r="H875" s="5"/>
      <c r="I875" s="5"/>
      <c r="J875" s="13"/>
      <c r="K875" s="13"/>
      <c r="M875" s="5"/>
    </row>
    <row r="876">
      <c r="G876" s="5"/>
      <c r="H876" s="5"/>
      <c r="I876" s="5"/>
      <c r="J876" s="13"/>
      <c r="K876" s="13"/>
      <c r="M876" s="5"/>
    </row>
    <row r="877">
      <c r="G877" s="5"/>
      <c r="H877" s="5"/>
      <c r="I877" s="5"/>
      <c r="J877" s="13"/>
      <c r="K877" s="13"/>
      <c r="M877" s="5"/>
    </row>
    <row r="878">
      <c r="G878" s="5"/>
      <c r="H878" s="5"/>
      <c r="I878" s="5"/>
      <c r="J878" s="13"/>
      <c r="K878" s="13"/>
      <c r="M878" s="5"/>
    </row>
    <row r="879">
      <c r="G879" s="5"/>
      <c r="H879" s="5"/>
      <c r="I879" s="5"/>
      <c r="J879" s="13"/>
      <c r="K879" s="13"/>
      <c r="M879" s="5"/>
    </row>
    <row r="880">
      <c r="G880" s="5"/>
      <c r="H880" s="5"/>
      <c r="I880" s="5"/>
      <c r="J880" s="13"/>
      <c r="K880" s="13"/>
      <c r="M880" s="5"/>
    </row>
    <row r="881">
      <c r="G881" s="5"/>
      <c r="H881" s="5"/>
      <c r="I881" s="5"/>
      <c r="J881" s="13"/>
      <c r="K881" s="13"/>
      <c r="M881" s="5"/>
    </row>
    <row r="882">
      <c r="G882" s="5"/>
      <c r="H882" s="5"/>
      <c r="I882" s="5"/>
      <c r="J882" s="13"/>
      <c r="K882" s="13"/>
      <c r="M882" s="5"/>
    </row>
    <row r="883">
      <c r="G883" s="5"/>
      <c r="H883" s="5"/>
      <c r="I883" s="5"/>
      <c r="J883" s="13"/>
      <c r="K883" s="13"/>
      <c r="M883" s="5"/>
    </row>
    <row r="884">
      <c r="G884" s="5"/>
      <c r="H884" s="5"/>
      <c r="I884" s="5"/>
      <c r="J884" s="13"/>
      <c r="K884" s="13"/>
      <c r="M884" s="5"/>
    </row>
    <row r="885">
      <c r="G885" s="5"/>
      <c r="H885" s="5"/>
      <c r="I885" s="5"/>
      <c r="J885" s="13"/>
      <c r="K885" s="13"/>
      <c r="M885" s="5"/>
    </row>
    <row r="886">
      <c r="G886" s="5"/>
      <c r="H886" s="5"/>
      <c r="I886" s="5"/>
      <c r="J886" s="13"/>
      <c r="K886" s="13"/>
      <c r="M886" s="5"/>
    </row>
    <row r="887">
      <c r="G887" s="5"/>
      <c r="H887" s="5"/>
      <c r="I887" s="5"/>
      <c r="J887" s="13"/>
      <c r="K887" s="13"/>
      <c r="M887" s="5"/>
    </row>
    <row r="888">
      <c r="G888" s="5"/>
      <c r="H888" s="5"/>
      <c r="I888" s="5"/>
      <c r="J888" s="13"/>
      <c r="K888" s="13"/>
      <c r="M888" s="5"/>
    </row>
    <row r="889">
      <c r="G889" s="5"/>
      <c r="H889" s="5"/>
      <c r="I889" s="5"/>
      <c r="J889" s="13"/>
      <c r="K889" s="13"/>
      <c r="M889" s="5"/>
    </row>
    <row r="890">
      <c r="G890" s="5"/>
      <c r="H890" s="5"/>
      <c r="I890" s="5"/>
      <c r="J890" s="13"/>
      <c r="K890" s="13"/>
      <c r="M890" s="5"/>
    </row>
    <row r="891">
      <c r="G891" s="5"/>
      <c r="H891" s="5"/>
      <c r="I891" s="5"/>
      <c r="J891" s="13"/>
      <c r="K891" s="13"/>
      <c r="M891" s="5"/>
    </row>
    <row r="892">
      <c r="G892" s="5"/>
      <c r="H892" s="5"/>
      <c r="I892" s="5"/>
      <c r="J892" s="13"/>
      <c r="K892" s="13"/>
      <c r="M892" s="5"/>
    </row>
    <row r="893">
      <c r="G893" s="5"/>
      <c r="H893" s="5"/>
      <c r="I893" s="5"/>
      <c r="J893" s="13"/>
      <c r="K893" s="13"/>
      <c r="M893" s="5"/>
    </row>
    <row r="894">
      <c r="G894" s="5"/>
      <c r="H894" s="5"/>
      <c r="I894" s="5"/>
      <c r="J894" s="13"/>
      <c r="K894" s="13"/>
      <c r="M894" s="5"/>
    </row>
    <row r="895">
      <c r="G895" s="5"/>
      <c r="H895" s="5"/>
      <c r="I895" s="5"/>
      <c r="J895" s="13"/>
      <c r="K895" s="13"/>
      <c r="M895" s="5"/>
    </row>
    <row r="896">
      <c r="G896" s="5"/>
      <c r="H896" s="5"/>
      <c r="I896" s="5"/>
      <c r="J896" s="13"/>
      <c r="K896" s="13"/>
      <c r="M896" s="5"/>
    </row>
    <row r="897">
      <c r="G897" s="5"/>
      <c r="H897" s="5"/>
      <c r="I897" s="5"/>
      <c r="J897" s="13"/>
      <c r="K897" s="13"/>
      <c r="M897" s="5"/>
    </row>
    <row r="898">
      <c r="G898" s="5"/>
      <c r="H898" s="5"/>
      <c r="I898" s="5"/>
      <c r="J898" s="13"/>
      <c r="K898" s="13"/>
      <c r="M898" s="5"/>
    </row>
    <row r="899">
      <c r="G899" s="5"/>
      <c r="H899" s="5"/>
      <c r="I899" s="5"/>
      <c r="J899" s="13"/>
      <c r="K899" s="13"/>
      <c r="M899" s="5"/>
    </row>
    <row r="900">
      <c r="G900" s="5"/>
      <c r="H900" s="5"/>
      <c r="I900" s="5"/>
      <c r="J900" s="13"/>
      <c r="K900" s="13"/>
      <c r="M900" s="5"/>
    </row>
    <row r="901">
      <c r="G901" s="5"/>
      <c r="H901" s="5"/>
      <c r="I901" s="5"/>
      <c r="J901" s="13"/>
      <c r="K901" s="13"/>
      <c r="M901" s="5"/>
    </row>
    <row r="902">
      <c r="G902" s="5"/>
      <c r="H902" s="5"/>
      <c r="I902" s="5"/>
      <c r="J902" s="13"/>
      <c r="K902" s="13"/>
      <c r="M902" s="5"/>
    </row>
    <row r="903">
      <c r="G903" s="5"/>
      <c r="H903" s="5"/>
      <c r="I903" s="5"/>
      <c r="J903" s="13"/>
      <c r="K903" s="13"/>
      <c r="M903" s="5"/>
    </row>
    <row r="904">
      <c r="G904" s="5"/>
      <c r="H904" s="5"/>
      <c r="I904" s="5"/>
      <c r="J904" s="13"/>
      <c r="K904" s="13"/>
      <c r="M904" s="5"/>
    </row>
    <row r="905">
      <c r="G905" s="5"/>
      <c r="H905" s="5"/>
      <c r="I905" s="5"/>
      <c r="J905" s="13"/>
      <c r="K905" s="13"/>
      <c r="M905" s="5"/>
    </row>
    <row r="906">
      <c r="G906" s="5"/>
      <c r="H906" s="5"/>
      <c r="I906" s="5"/>
      <c r="J906" s="13"/>
      <c r="K906" s="13"/>
      <c r="M906" s="5"/>
    </row>
    <row r="907">
      <c r="G907" s="5"/>
      <c r="H907" s="5"/>
      <c r="I907" s="5"/>
      <c r="J907" s="13"/>
      <c r="K907" s="13"/>
      <c r="M907" s="5"/>
    </row>
    <row r="908">
      <c r="G908" s="5"/>
      <c r="H908" s="5"/>
      <c r="I908" s="5"/>
      <c r="J908" s="13"/>
      <c r="K908" s="13"/>
      <c r="M908" s="5"/>
    </row>
    <row r="909">
      <c r="G909" s="5"/>
      <c r="H909" s="5"/>
      <c r="I909" s="5"/>
      <c r="J909" s="13"/>
      <c r="K909" s="13"/>
      <c r="M909" s="5"/>
    </row>
    <row r="910">
      <c r="G910" s="5"/>
      <c r="H910" s="5"/>
      <c r="I910" s="5"/>
      <c r="J910" s="13"/>
      <c r="K910" s="13"/>
      <c r="M910" s="5"/>
    </row>
    <row r="911">
      <c r="G911" s="5"/>
      <c r="H911" s="5"/>
      <c r="I911" s="5"/>
      <c r="J911" s="13"/>
      <c r="K911" s="13"/>
      <c r="M911" s="5"/>
    </row>
    <row r="912">
      <c r="G912" s="5"/>
      <c r="H912" s="5"/>
      <c r="I912" s="5"/>
      <c r="J912" s="13"/>
      <c r="K912" s="13"/>
      <c r="M912" s="5"/>
    </row>
    <row r="913">
      <c r="G913" s="5"/>
      <c r="H913" s="5"/>
      <c r="I913" s="5"/>
      <c r="J913" s="13"/>
      <c r="K913" s="13"/>
      <c r="M913" s="5"/>
    </row>
    <row r="914">
      <c r="G914" s="5"/>
      <c r="H914" s="5"/>
      <c r="I914" s="5"/>
      <c r="J914" s="13"/>
      <c r="K914" s="13"/>
      <c r="M914" s="5"/>
    </row>
    <row r="915">
      <c r="G915" s="5"/>
      <c r="H915" s="5"/>
      <c r="I915" s="5"/>
      <c r="J915" s="13"/>
      <c r="K915" s="13"/>
      <c r="M915" s="5"/>
    </row>
    <row r="916">
      <c r="G916" s="5"/>
      <c r="H916" s="5"/>
      <c r="I916" s="5"/>
      <c r="J916" s="13"/>
      <c r="K916" s="13"/>
      <c r="M916" s="5"/>
    </row>
    <row r="917">
      <c r="G917" s="5"/>
      <c r="H917" s="5"/>
      <c r="I917" s="5"/>
      <c r="J917" s="13"/>
      <c r="K917" s="13"/>
      <c r="M917" s="5"/>
    </row>
    <row r="918">
      <c r="G918" s="5"/>
      <c r="H918" s="5"/>
      <c r="I918" s="5"/>
      <c r="J918" s="13"/>
      <c r="K918" s="13"/>
      <c r="M918" s="5"/>
    </row>
    <row r="919">
      <c r="G919" s="5"/>
      <c r="H919" s="5"/>
      <c r="I919" s="5"/>
      <c r="J919" s="13"/>
      <c r="K919" s="13"/>
      <c r="M919" s="5"/>
    </row>
    <row r="920">
      <c r="G920" s="5"/>
      <c r="H920" s="5"/>
      <c r="I920" s="5"/>
      <c r="J920" s="13"/>
      <c r="K920" s="13"/>
      <c r="M920" s="5"/>
    </row>
    <row r="921">
      <c r="G921" s="5"/>
      <c r="H921" s="5"/>
      <c r="I921" s="5"/>
      <c r="J921" s="13"/>
      <c r="K921" s="13"/>
      <c r="M921" s="5"/>
    </row>
    <row r="922">
      <c r="G922" s="5"/>
      <c r="H922" s="5"/>
      <c r="I922" s="5"/>
      <c r="J922" s="13"/>
      <c r="K922" s="13"/>
      <c r="M922" s="5"/>
    </row>
    <row r="923">
      <c r="G923" s="5"/>
      <c r="H923" s="5"/>
      <c r="I923" s="5"/>
      <c r="J923" s="13"/>
      <c r="K923" s="13"/>
      <c r="M923" s="5"/>
    </row>
    <row r="924">
      <c r="G924" s="5"/>
      <c r="H924" s="5"/>
      <c r="I924" s="5"/>
      <c r="J924" s="13"/>
      <c r="K924" s="13"/>
      <c r="M924" s="5"/>
    </row>
    <row r="925">
      <c r="G925" s="5"/>
      <c r="H925" s="5"/>
      <c r="I925" s="5"/>
      <c r="J925" s="13"/>
      <c r="K925" s="13"/>
      <c r="M925" s="5"/>
    </row>
    <row r="926">
      <c r="G926" s="5"/>
      <c r="H926" s="5"/>
      <c r="I926" s="5"/>
      <c r="J926" s="13"/>
      <c r="K926" s="13"/>
      <c r="M926" s="5"/>
    </row>
    <row r="927">
      <c r="G927" s="5"/>
      <c r="H927" s="5"/>
      <c r="I927" s="5"/>
      <c r="J927" s="13"/>
      <c r="K927" s="13"/>
      <c r="M927" s="5"/>
    </row>
    <row r="928">
      <c r="G928" s="5"/>
      <c r="H928" s="5"/>
      <c r="I928" s="5"/>
      <c r="J928" s="13"/>
      <c r="K928" s="13"/>
      <c r="M928" s="5"/>
    </row>
    <row r="929">
      <c r="G929" s="5"/>
      <c r="H929" s="5"/>
      <c r="I929" s="5"/>
      <c r="J929" s="13"/>
      <c r="K929" s="13"/>
      <c r="M929" s="5"/>
    </row>
    <row r="930">
      <c r="G930" s="5"/>
      <c r="H930" s="5"/>
      <c r="I930" s="5"/>
      <c r="J930" s="13"/>
      <c r="K930" s="13"/>
      <c r="M930" s="5"/>
    </row>
    <row r="931">
      <c r="G931" s="5"/>
      <c r="H931" s="5"/>
      <c r="I931" s="5"/>
      <c r="J931" s="13"/>
      <c r="K931" s="13"/>
      <c r="M931" s="5"/>
    </row>
    <row r="932">
      <c r="G932" s="5"/>
      <c r="H932" s="5"/>
      <c r="I932" s="5"/>
      <c r="J932" s="13"/>
      <c r="K932" s="13"/>
      <c r="M932" s="5"/>
    </row>
    <row r="933">
      <c r="G933" s="5"/>
      <c r="H933" s="5"/>
      <c r="I933" s="5"/>
      <c r="J933" s="13"/>
      <c r="K933" s="13"/>
      <c r="M933" s="5"/>
    </row>
    <row r="934">
      <c r="G934" s="5"/>
      <c r="H934" s="5"/>
      <c r="I934" s="5"/>
      <c r="J934" s="13"/>
      <c r="K934" s="13"/>
      <c r="M934" s="5"/>
    </row>
    <row r="935">
      <c r="G935" s="5"/>
      <c r="H935" s="5"/>
      <c r="I935" s="5"/>
      <c r="J935" s="13"/>
      <c r="K935" s="13"/>
      <c r="M935" s="5"/>
    </row>
    <row r="936">
      <c r="G936" s="5"/>
      <c r="H936" s="5"/>
      <c r="I936" s="5"/>
      <c r="J936" s="13"/>
      <c r="K936" s="13"/>
      <c r="M936" s="5"/>
    </row>
    <row r="937">
      <c r="G937" s="5"/>
      <c r="H937" s="5"/>
      <c r="I937" s="5"/>
      <c r="J937" s="13"/>
      <c r="K937" s="13"/>
      <c r="M937" s="5"/>
    </row>
    <row r="938">
      <c r="G938" s="5"/>
      <c r="H938" s="5"/>
      <c r="I938" s="5"/>
      <c r="J938" s="13"/>
      <c r="K938" s="13"/>
      <c r="M938" s="5"/>
    </row>
    <row r="939">
      <c r="G939" s="5"/>
      <c r="H939" s="5"/>
      <c r="I939" s="5"/>
      <c r="J939" s="13"/>
      <c r="K939" s="13"/>
      <c r="M939" s="5"/>
    </row>
    <row r="940">
      <c r="G940" s="5"/>
      <c r="H940" s="5"/>
      <c r="I940" s="5"/>
      <c r="J940" s="13"/>
      <c r="K940" s="13"/>
      <c r="M940" s="5"/>
    </row>
    <row r="941">
      <c r="G941" s="5"/>
      <c r="H941" s="5"/>
      <c r="I941" s="5"/>
      <c r="J941" s="13"/>
      <c r="K941" s="13"/>
      <c r="M941" s="5"/>
    </row>
    <row r="942">
      <c r="G942" s="5"/>
      <c r="H942" s="5"/>
      <c r="I942" s="5"/>
      <c r="J942" s="13"/>
      <c r="K942" s="13"/>
      <c r="M942" s="5"/>
    </row>
    <row r="943">
      <c r="G943" s="5"/>
      <c r="H943" s="5"/>
      <c r="I943" s="5"/>
      <c r="J943" s="13"/>
      <c r="K943" s="13"/>
      <c r="M943" s="5"/>
    </row>
    <row r="944">
      <c r="G944" s="5"/>
      <c r="H944" s="5"/>
      <c r="I944" s="5"/>
      <c r="J944" s="13"/>
      <c r="K944" s="13"/>
      <c r="M944" s="5"/>
    </row>
    <row r="945">
      <c r="G945" s="5"/>
      <c r="H945" s="5"/>
      <c r="I945" s="5"/>
      <c r="J945" s="13"/>
      <c r="K945" s="13"/>
      <c r="M945" s="5"/>
    </row>
    <row r="946">
      <c r="G946" s="5"/>
      <c r="H946" s="5"/>
      <c r="I946" s="5"/>
      <c r="J946" s="13"/>
      <c r="K946" s="13"/>
      <c r="M946" s="5"/>
    </row>
    <row r="947">
      <c r="G947" s="5"/>
      <c r="H947" s="5"/>
      <c r="I947" s="5"/>
      <c r="J947" s="13"/>
      <c r="K947" s="13"/>
      <c r="M947" s="5"/>
    </row>
    <row r="948">
      <c r="G948" s="5"/>
      <c r="H948" s="5"/>
      <c r="I948" s="5"/>
      <c r="J948" s="13"/>
      <c r="K948" s="13"/>
      <c r="M948" s="5"/>
    </row>
    <row r="949">
      <c r="G949" s="5"/>
      <c r="H949" s="5"/>
      <c r="I949" s="5"/>
      <c r="J949" s="13"/>
      <c r="K949" s="13"/>
      <c r="M949" s="5"/>
    </row>
    <row r="950">
      <c r="G950" s="5"/>
      <c r="H950" s="5"/>
      <c r="I950" s="5"/>
      <c r="J950" s="13"/>
      <c r="K950" s="13"/>
      <c r="M950" s="5"/>
    </row>
    <row r="951">
      <c r="G951" s="5"/>
      <c r="H951" s="5"/>
      <c r="I951" s="5"/>
      <c r="J951" s="13"/>
      <c r="K951" s="13"/>
      <c r="M951" s="5"/>
    </row>
    <row r="952">
      <c r="G952" s="5"/>
      <c r="H952" s="5"/>
      <c r="I952" s="5"/>
      <c r="J952" s="13"/>
      <c r="K952" s="13"/>
      <c r="M952" s="5"/>
    </row>
    <row r="953">
      <c r="G953" s="5"/>
      <c r="H953" s="5"/>
      <c r="I953" s="5"/>
      <c r="J953" s="13"/>
      <c r="K953" s="13"/>
      <c r="M953" s="5"/>
    </row>
    <row r="954">
      <c r="G954" s="5"/>
      <c r="H954" s="5"/>
      <c r="I954" s="5"/>
      <c r="J954" s="13"/>
      <c r="K954" s="13"/>
      <c r="M954" s="5"/>
    </row>
    <row r="955">
      <c r="G955" s="5"/>
      <c r="H955" s="5"/>
      <c r="I955" s="5"/>
      <c r="J955" s="13"/>
      <c r="K955" s="13"/>
      <c r="M955" s="5"/>
    </row>
    <row r="956">
      <c r="G956" s="5"/>
      <c r="H956" s="5"/>
      <c r="I956" s="5"/>
      <c r="J956" s="13"/>
      <c r="K956" s="13"/>
      <c r="M956" s="5"/>
    </row>
    <row r="957">
      <c r="G957" s="5"/>
      <c r="H957" s="5"/>
      <c r="I957" s="5"/>
      <c r="J957" s="13"/>
      <c r="K957" s="13"/>
      <c r="M957" s="5"/>
    </row>
    <row r="958">
      <c r="G958" s="5"/>
      <c r="H958" s="5"/>
      <c r="I958" s="5"/>
      <c r="J958" s="13"/>
      <c r="K958" s="13"/>
      <c r="M958" s="5"/>
    </row>
    <row r="959">
      <c r="G959" s="5"/>
      <c r="H959" s="5"/>
      <c r="I959" s="5"/>
      <c r="J959" s="13"/>
      <c r="K959" s="13"/>
      <c r="M959" s="5"/>
    </row>
    <row r="960">
      <c r="G960" s="5"/>
      <c r="H960" s="5"/>
      <c r="I960" s="5"/>
      <c r="J960" s="13"/>
      <c r="K960" s="13"/>
      <c r="M960" s="5"/>
    </row>
    <row r="961">
      <c r="G961" s="5"/>
      <c r="H961" s="5"/>
      <c r="I961" s="5"/>
      <c r="J961" s="13"/>
      <c r="K961" s="13"/>
      <c r="M961" s="5"/>
    </row>
    <row r="962">
      <c r="G962" s="5"/>
      <c r="H962" s="5"/>
      <c r="I962" s="5"/>
      <c r="J962" s="13"/>
      <c r="K962" s="13"/>
      <c r="M962" s="5"/>
    </row>
    <row r="963">
      <c r="G963" s="5"/>
      <c r="H963" s="5"/>
      <c r="I963" s="5"/>
      <c r="J963" s="13"/>
      <c r="K963" s="13"/>
      <c r="M963" s="5"/>
    </row>
    <row r="964">
      <c r="G964" s="5"/>
      <c r="H964" s="5"/>
      <c r="I964" s="5"/>
      <c r="J964" s="13"/>
      <c r="K964" s="13"/>
      <c r="M964" s="5"/>
    </row>
    <row r="965">
      <c r="G965" s="5"/>
      <c r="H965" s="5"/>
      <c r="I965" s="5"/>
      <c r="J965" s="13"/>
      <c r="K965" s="13"/>
      <c r="M965" s="5"/>
    </row>
    <row r="966">
      <c r="G966" s="5"/>
      <c r="H966" s="5"/>
      <c r="I966" s="5"/>
      <c r="J966" s="13"/>
      <c r="K966" s="13"/>
      <c r="M966" s="5"/>
    </row>
    <row r="967">
      <c r="G967" s="5"/>
      <c r="H967" s="5"/>
      <c r="I967" s="5"/>
      <c r="J967" s="13"/>
      <c r="K967" s="13"/>
      <c r="M967" s="5"/>
    </row>
    <row r="968">
      <c r="G968" s="5"/>
      <c r="H968" s="5"/>
      <c r="I968" s="5"/>
      <c r="J968" s="13"/>
      <c r="K968" s="13"/>
      <c r="M968" s="5"/>
    </row>
    <row r="969">
      <c r="G969" s="5"/>
      <c r="H969" s="5"/>
      <c r="I969" s="5"/>
      <c r="J969" s="13"/>
      <c r="K969" s="13"/>
      <c r="M969" s="5"/>
    </row>
    <row r="970">
      <c r="G970" s="5"/>
      <c r="H970" s="5"/>
      <c r="I970" s="5"/>
      <c r="J970" s="13"/>
      <c r="K970" s="13"/>
      <c r="M970" s="5"/>
    </row>
    <row r="971">
      <c r="G971" s="5"/>
      <c r="H971" s="5"/>
      <c r="I971" s="5"/>
      <c r="J971" s="13"/>
      <c r="K971" s="13"/>
      <c r="M971" s="5"/>
    </row>
    <row r="972">
      <c r="G972" s="5"/>
      <c r="H972" s="5"/>
      <c r="I972" s="5"/>
      <c r="J972" s="13"/>
      <c r="K972" s="13"/>
      <c r="M972" s="5"/>
    </row>
    <row r="973">
      <c r="G973" s="5"/>
      <c r="H973" s="5"/>
      <c r="I973" s="5"/>
      <c r="J973" s="13"/>
      <c r="K973" s="13"/>
      <c r="M973" s="5"/>
    </row>
    <row r="974">
      <c r="G974" s="5"/>
      <c r="H974" s="5"/>
      <c r="I974" s="5"/>
      <c r="J974" s="13"/>
      <c r="K974" s="13"/>
      <c r="M974" s="5"/>
    </row>
    <row r="975">
      <c r="G975" s="5"/>
      <c r="H975" s="5"/>
      <c r="I975" s="5"/>
      <c r="J975" s="13"/>
      <c r="K975" s="13"/>
      <c r="M975" s="5"/>
    </row>
    <row r="976">
      <c r="G976" s="5"/>
      <c r="H976" s="5"/>
      <c r="I976" s="5"/>
      <c r="J976" s="13"/>
      <c r="K976" s="13"/>
      <c r="M976" s="5"/>
    </row>
    <row r="977">
      <c r="G977" s="5"/>
      <c r="H977" s="5"/>
      <c r="I977" s="5"/>
      <c r="J977" s="13"/>
      <c r="K977" s="13"/>
      <c r="M977" s="5"/>
    </row>
    <row r="978">
      <c r="G978" s="5"/>
      <c r="H978" s="5"/>
      <c r="I978" s="5"/>
      <c r="J978" s="13"/>
      <c r="K978" s="13"/>
      <c r="M978" s="5"/>
    </row>
    <row r="979">
      <c r="G979" s="5"/>
      <c r="H979" s="5"/>
      <c r="I979" s="5"/>
      <c r="J979" s="13"/>
      <c r="K979" s="13"/>
      <c r="M979" s="5"/>
    </row>
    <row r="980">
      <c r="G980" s="5"/>
      <c r="H980" s="5"/>
      <c r="I980" s="5"/>
      <c r="J980" s="13"/>
      <c r="K980" s="13"/>
      <c r="M980" s="5"/>
    </row>
    <row r="981">
      <c r="G981" s="5"/>
      <c r="H981" s="5"/>
      <c r="I981" s="5"/>
      <c r="J981" s="13"/>
      <c r="K981" s="13"/>
      <c r="M981" s="5"/>
    </row>
    <row r="982">
      <c r="G982" s="5"/>
      <c r="H982" s="5"/>
      <c r="I982" s="5"/>
      <c r="J982" s="13"/>
      <c r="K982" s="13"/>
      <c r="M982" s="5"/>
    </row>
    <row r="983">
      <c r="G983" s="5"/>
      <c r="H983" s="5"/>
      <c r="I983" s="5"/>
      <c r="J983" s="13"/>
      <c r="K983" s="13"/>
      <c r="M983" s="5"/>
    </row>
    <row r="984">
      <c r="G984" s="5"/>
      <c r="H984" s="5"/>
      <c r="I984" s="5"/>
      <c r="J984" s="13"/>
      <c r="K984" s="13"/>
      <c r="M984" s="5"/>
    </row>
    <row r="985">
      <c r="G985" s="5"/>
      <c r="H985" s="5"/>
      <c r="I985" s="5"/>
      <c r="J985" s="13"/>
      <c r="K985" s="13"/>
      <c r="M985" s="5"/>
    </row>
    <row r="986">
      <c r="G986" s="5"/>
      <c r="H986" s="5"/>
      <c r="I986" s="5"/>
      <c r="J986" s="13"/>
      <c r="K986" s="13"/>
      <c r="M986" s="5"/>
    </row>
    <row r="987">
      <c r="G987" s="5"/>
      <c r="H987" s="5"/>
      <c r="I987" s="5"/>
      <c r="J987" s="13"/>
      <c r="K987" s="13"/>
      <c r="M987" s="5"/>
    </row>
    <row r="988">
      <c r="G988" s="5"/>
      <c r="H988" s="5"/>
      <c r="I988" s="5"/>
      <c r="J988" s="13"/>
      <c r="K988" s="13"/>
      <c r="M988" s="5"/>
    </row>
    <row r="989">
      <c r="G989" s="5"/>
      <c r="H989" s="5"/>
      <c r="I989" s="5"/>
      <c r="J989" s="13"/>
      <c r="K989" s="13"/>
      <c r="M989" s="5"/>
    </row>
    <row r="990">
      <c r="G990" s="5"/>
      <c r="H990" s="5"/>
      <c r="I990" s="5"/>
      <c r="J990" s="13"/>
      <c r="K990" s="13"/>
      <c r="M990" s="5"/>
    </row>
    <row r="991">
      <c r="G991" s="5"/>
      <c r="H991" s="5"/>
      <c r="I991" s="5"/>
      <c r="J991" s="13"/>
      <c r="K991" s="13"/>
      <c r="M991" s="5"/>
    </row>
    <row r="992">
      <c r="G992" s="5"/>
      <c r="H992" s="5"/>
      <c r="I992" s="5"/>
      <c r="J992" s="13"/>
      <c r="K992" s="13"/>
      <c r="M992" s="5"/>
    </row>
    <row r="993">
      <c r="G993" s="5"/>
      <c r="H993" s="5"/>
      <c r="I993" s="5"/>
      <c r="J993" s="13"/>
      <c r="K993" s="13"/>
      <c r="M993" s="5"/>
    </row>
    <row r="994">
      <c r="G994" s="5"/>
      <c r="H994" s="5"/>
      <c r="I994" s="5"/>
      <c r="J994" s="13"/>
      <c r="K994" s="13"/>
      <c r="M994" s="5"/>
    </row>
    <row r="995">
      <c r="G995" s="5"/>
      <c r="H995" s="5"/>
      <c r="I995" s="5"/>
      <c r="J995" s="13"/>
      <c r="K995" s="13"/>
      <c r="M995" s="5"/>
    </row>
    <row r="996">
      <c r="G996" s="5"/>
      <c r="H996" s="5"/>
      <c r="I996" s="5"/>
      <c r="J996" s="13"/>
      <c r="K996" s="13"/>
      <c r="M996" s="5"/>
    </row>
    <row r="997">
      <c r="G997" s="5"/>
      <c r="H997" s="5"/>
      <c r="I997" s="5"/>
      <c r="J997" s="13"/>
      <c r="K997" s="13"/>
      <c r="M997" s="5"/>
    </row>
    <row r="998">
      <c r="G998" s="5"/>
      <c r="H998" s="5"/>
      <c r="I998" s="5"/>
      <c r="J998" s="13"/>
      <c r="K998" s="13"/>
      <c r="M998" s="5"/>
    </row>
  </sheetData>
  <drawing r:id="rId1"/>
</worksheet>
</file>